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hidePivotFieldList="1"/>
  <bookViews>
    <workbookView xWindow="-105" yWindow="-105" windowWidth="23250" windowHeight="12720" activeTab="3"/>
  </bookViews>
  <sheets>
    <sheet name="SALES" sheetId="2" r:id="rId1"/>
    <sheet name="BALANCE" sheetId="3" r:id="rId2"/>
    <sheet name="Statement of Account" sheetId="5" r:id="rId3"/>
    <sheet name="STOCK REPORT " sheetId="7" r:id="rId4"/>
  </sheets>
  <definedNames>
    <definedName name="_xlnm._FilterDatabase" localSheetId="0" hidden="1">SALES!$A$4:$A$64</definedName>
    <definedName name="Advances">BALANCE!$K$52</definedName>
    <definedName name="ColumnTitle1">Data[[#Headers],[DATE]]</definedName>
    <definedName name="CompanyName">#REF!</definedName>
    <definedName name="CustomerLookup">#REF!</definedName>
    <definedName name="Invoice_No">InvoicesMain[Invoice '#]</definedName>
    <definedName name="InvoiceNoDetails">"InvoiceDetails[Invoice No]"</definedName>
    <definedName name="PreviousBalance">'Statement of Account'!$H$7</definedName>
    <definedName name="_xlnm.Print_Titles" localSheetId="0">SALES!$4:$4</definedName>
    <definedName name="_xlnm.Print_Titles" localSheetId="2">'Statement of Account'!$6:$6</definedName>
    <definedName name="rngInvoice">#REF!</definedName>
    <definedName name="RowTitleRegion1..F2">'Statement of Account'!$G$1</definedName>
    <definedName name="Subtotal">BALANCE!$K$51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4" i="7" l="1"/>
  <c r="D32" i="7"/>
  <c r="E32" i="7"/>
  <c r="F32" i="7"/>
  <c r="C32" i="7"/>
  <c r="G10" i="7"/>
  <c r="G11" i="7"/>
  <c r="G12" i="7"/>
  <c r="G13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9" i="7"/>
  <c r="J96" i="2"/>
  <c r="B94" i="2"/>
  <c r="B95" i="2"/>
  <c r="B96" i="2" s="1"/>
  <c r="G32" i="7" l="1"/>
  <c r="B97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68" i="2"/>
  <c r="B98" i="2" l="1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24" i="3"/>
  <c r="K46" i="3"/>
  <c r="K47" i="3"/>
  <c r="B99" i="2" l="1"/>
  <c r="J56" i="2"/>
  <c r="J57" i="2"/>
  <c r="J58" i="2"/>
  <c r="J59" i="2"/>
  <c r="J60" i="2"/>
  <c r="J61" i="2"/>
  <c r="J62" i="2"/>
  <c r="J63" i="2"/>
  <c r="J64" i="2"/>
  <c r="J65" i="2"/>
  <c r="J66" i="2"/>
  <c r="J67" i="2"/>
  <c r="J55" i="2"/>
  <c r="J54" i="2"/>
  <c r="J52" i="2"/>
  <c r="J53" i="2"/>
  <c r="J47" i="2"/>
  <c r="J39" i="2"/>
  <c r="J40" i="2"/>
  <c r="J41" i="2"/>
  <c r="J42" i="2"/>
  <c r="J43" i="2"/>
  <c r="J44" i="2"/>
  <c r="J45" i="2"/>
  <c r="J46" i="2"/>
  <c r="J48" i="2"/>
  <c r="J49" i="2"/>
  <c r="J50" i="2"/>
  <c r="J51" i="2"/>
  <c r="J38" i="2"/>
  <c r="J29" i="2"/>
  <c r="B100" i="2" l="1"/>
  <c r="J37" i="2"/>
  <c r="J34" i="2"/>
  <c r="J35" i="2"/>
  <c r="J36" i="2"/>
  <c r="B101" i="2" l="1"/>
  <c r="J33" i="2"/>
  <c r="J31" i="2"/>
  <c r="J32" i="2"/>
  <c r="B102" i="2" l="1"/>
  <c r="J27" i="2"/>
  <c r="J28" i="2"/>
  <c r="B103" i="2" l="1"/>
  <c r="J26" i="2"/>
  <c r="J30" i="2"/>
  <c r="J25" i="2"/>
  <c r="J24" i="2"/>
  <c r="J5" i="2"/>
  <c r="H8" i="5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H38" i="5" s="1"/>
  <c r="H39" i="5" s="1"/>
  <c r="H40" i="5" s="1"/>
  <c r="H41" i="5" s="1"/>
  <c r="H42" i="5" s="1"/>
  <c r="H43" i="5" s="1"/>
  <c r="H44" i="5" s="1"/>
  <c r="H45" i="5" s="1"/>
  <c r="H46" i="5" s="1"/>
  <c r="H47" i="5" s="1"/>
  <c r="H48" i="5" s="1"/>
  <c r="H49" i="5" s="1"/>
  <c r="H50" i="5" s="1"/>
  <c r="H51" i="5" s="1"/>
  <c r="H52" i="5" s="1"/>
  <c r="H53" i="5" s="1"/>
  <c r="H54" i="5" s="1"/>
  <c r="H55" i="5" s="1"/>
  <c r="H56" i="5" s="1"/>
  <c r="H57" i="5" s="1"/>
  <c r="H58" i="5" s="1"/>
  <c r="H59" i="5" s="1"/>
  <c r="H60" i="5" s="1"/>
  <c r="H61" i="5" s="1"/>
  <c r="H62" i="5" s="1"/>
  <c r="H63" i="5" s="1"/>
  <c r="H64" i="5" s="1"/>
  <c r="H65" i="5" s="1"/>
  <c r="H66" i="5" s="1"/>
  <c r="H67" i="5" s="1"/>
  <c r="H68" i="5" s="1"/>
  <c r="H69" i="5" s="1"/>
  <c r="H70" i="5" s="1"/>
  <c r="H71" i="5" s="1"/>
  <c r="H72" i="5" s="1"/>
  <c r="H73" i="5" s="1"/>
  <c r="H74" i="5" s="1"/>
  <c r="H75" i="5" s="1"/>
  <c r="H76" i="5" s="1"/>
  <c r="H77" i="5" s="1"/>
  <c r="H78" i="5" s="1"/>
  <c r="H79" i="5" s="1"/>
  <c r="H80" i="5" s="1"/>
  <c r="H81" i="5" s="1"/>
  <c r="H82" i="5" s="1"/>
  <c r="H83" i="5" s="1"/>
  <c r="H84" i="5" s="1"/>
  <c r="H85" i="5" s="1"/>
  <c r="H86" i="5" s="1"/>
  <c r="H87" i="5" s="1"/>
  <c r="H88" i="5" s="1"/>
  <c r="H89" i="5" s="1"/>
  <c r="H90" i="5" s="1"/>
  <c r="H91" i="5" s="1"/>
  <c r="H92" i="5" s="1"/>
  <c r="H93" i="5" s="1"/>
  <c r="H94" i="5" s="1"/>
  <c r="H95" i="5" s="1"/>
  <c r="B104" i="2" l="1"/>
  <c r="I118" i="2"/>
  <c r="G118" i="2"/>
  <c r="J11" i="2"/>
  <c r="B105" i="2" l="1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48" i="3"/>
  <c r="K49" i="3"/>
  <c r="K6" i="3"/>
  <c r="F50" i="3"/>
  <c r="G50" i="3"/>
  <c r="J50" i="3"/>
  <c r="I50" i="3"/>
  <c r="H50" i="3"/>
  <c r="B106" i="2" l="1"/>
  <c r="K50" i="3"/>
  <c r="K51" i="3" s="1"/>
  <c r="B6" i="2"/>
  <c r="B7" i="2" s="1"/>
  <c r="B8" i="2" s="1"/>
  <c r="B9" i="2" s="1"/>
  <c r="B10" i="2" s="1"/>
  <c r="B11" i="2" s="1"/>
  <c r="B12" i="2" s="1"/>
  <c r="B13" i="2" s="1"/>
  <c r="J8" i="2"/>
  <c r="J6" i="2"/>
  <c r="J7" i="2"/>
  <c r="J9" i="2"/>
  <c r="J10" i="2"/>
  <c r="H118" i="2"/>
  <c r="B107" i="2" l="1"/>
  <c r="J118" i="2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108" i="2" l="1"/>
  <c r="B109" i="2" l="1"/>
  <c r="B110" i="2" l="1"/>
  <c r="B111" i="2" l="1"/>
  <c r="B112" i="2" l="1"/>
  <c r="B113" i="2" l="1"/>
  <c r="B114" i="2" l="1"/>
  <c r="B115" i="2" l="1"/>
  <c r="B116" i="2" l="1"/>
  <c r="B117" i="2" l="1"/>
</calcChain>
</file>

<file path=xl/sharedStrings.xml><?xml version="1.0" encoding="utf-8"?>
<sst xmlns="http://schemas.openxmlformats.org/spreadsheetml/2006/main" count="699" uniqueCount="163">
  <si>
    <t>Tax Rate</t>
  </si>
  <si>
    <t>Invoice Date</t>
  </si>
  <si>
    <t>Invoice #</t>
  </si>
  <si>
    <t>Invoice Total</t>
  </si>
  <si>
    <t>Totals</t>
  </si>
  <si>
    <t xml:space="preserve"> </t>
  </si>
  <si>
    <t xml:space="preserve">PRODUCT </t>
  </si>
  <si>
    <t>QTY</t>
  </si>
  <si>
    <t xml:space="preserve">SAMPLE TESTERS </t>
  </si>
  <si>
    <t>PRICE</t>
  </si>
  <si>
    <t>MOST WANTED</t>
  </si>
  <si>
    <t xml:space="preserve">ARMANI MY WAY </t>
  </si>
  <si>
    <t xml:space="preserve">HAWAS ICE / FOREST AQUA </t>
  </si>
  <si>
    <t>ML</t>
  </si>
  <si>
    <t>CUSTOMER</t>
  </si>
  <si>
    <t>-</t>
  </si>
  <si>
    <t xml:space="preserve">SMIT </t>
  </si>
  <si>
    <t>SONU</t>
  </si>
  <si>
    <t xml:space="preserve">ANKIT </t>
  </si>
  <si>
    <t xml:space="preserve">BHARAT </t>
  </si>
  <si>
    <t>ASHISH</t>
  </si>
  <si>
    <t>INVOICES</t>
  </si>
  <si>
    <t>LUXORA</t>
  </si>
  <si>
    <t>Date</t>
  </si>
  <si>
    <t>Account</t>
  </si>
  <si>
    <t>Description</t>
  </si>
  <si>
    <t>NOTES</t>
  </si>
  <si>
    <t>Meals</t>
  </si>
  <si>
    <t>Phone</t>
  </si>
  <si>
    <t>Misc.</t>
  </si>
  <si>
    <t>Total</t>
  </si>
  <si>
    <t xml:space="preserve">  </t>
  </si>
  <si>
    <t>MZ AROMAS</t>
  </si>
  <si>
    <t>BALANCE</t>
  </si>
  <si>
    <t>TOTAL</t>
  </si>
  <si>
    <t xml:space="preserve">TRANSPORT </t>
  </si>
  <si>
    <t>DHRUV/KOTAK</t>
  </si>
  <si>
    <t>PERFUME OILS</t>
  </si>
  <si>
    <t xml:space="preserve">AMOUNT </t>
  </si>
  <si>
    <t>PETROL</t>
  </si>
  <si>
    <t>COLOURS</t>
  </si>
  <si>
    <t>RIDDHI SIDDHI</t>
  </si>
  <si>
    <t>NAYAN/KOTAK</t>
  </si>
  <si>
    <t>OM/KOTAK</t>
  </si>
  <si>
    <t xml:space="preserve">PERFUME BOTTLES </t>
  </si>
  <si>
    <t xml:space="preserve">RETAIL </t>
  </si>
  <si>
    <t>OM</t>
  </si>
  <si>
    <t xml:space="preserve">LATAFA YARA </t>
  </si>
  <si>
    <t xml:space="preserve">PERSONAL </t>
  </si>
  <si>
    <t xml:space="preserve">NAYAN </t>
  </si>
  <si>
    <t xml:space="preserve">GAUTAM </t>
  </si>
  <si>
    <t xml:space="preserve">MIX FRUIT </t>
  </si>
  <si>
    <t xml:space="preserve">PAYMENT </t>
  </si>
  <si>
    <t>PAID/SBI</t>
  </si>
  <si>
    <t xml:space="preserve">Balance brought forward  </t>
  </si>
  <si>
    <t>ACCOUNT 
BALANCE</t>
  </si>
  <si>
    <t>CREDITS</t>
  </si>
  <si>
    <t>DESCRIPTION</t>
  </si>
  <si>
    <t>DATE</t>
  </si>
  <si>
    <t xml:space="preserve">LUXORA PERFUME </t>
  </si>
  <si>
    <t>PAYMENT RECORD</t>
  </si>
  <si>
    <t>DEBIT</t>
  </si>
  <si>
    <t>SUJAL</t>
  </si>
  <si>
    <t>PERFUME OILS/BOTTLE</t>
  </si>
  <si>
    <t xml:space="preserve">PERFUME OILS </t>
  </si>
  <si>
    <t xml:space="preserve"> PERFUME OILS / BOTTLES</t>
  </si>
  <si>
    <t>NOTE</t>
  </si>
  <si>
    <t>ELEXIR</t>
  </si>
  <si>
    <t xml:space="preserve">COOL WATER </t>
  </si>
  <si>
    <t xml:space="preserve">MONICA </t>
  </si>
  <si>
    <t>RASSASI HAWAS</t>
  </si>
  <si>
    <t>SWATI</t>
  </si>
  <si>
    <t xml:space="preserve">DROPPER </t>
  </si>
  <si>
    <t xml:space="preserve">MOUSE </t>
  </si>
  <si>
    <t xml:space="preserve">BAGS POTLI </t>
  </si>
  <si>
    <t>TIRTH/KOTAK</t>
  </si>
  <si>
    <t>BAGS/POTLI</t>
  </si>
  <si>
    <t>RINKU</t>
  </si>
  <si>
    <t xml:space="preserve">PURPLE MUSK </t>
  </si>
  <si>
    <t xml:space="preserve">SANJAY </t>
  </si>
  <si>
    <t xml:space="preserve">JAY </t>
  </si>
  <si>
    <t xml:space="preserve">SURAT </t>
  </si>
  <si>
    <t>MISC</t>
  </si>
  <si>
    <t xml:space="preserve">PETROL </t>
  </si>
  <si>
    <t>TIRTH</t>
  </si>
  <si>
    <t xml:space="preserve">JYOTI </t>
  </si>
  <si>
    <t>HARSHAD</t>
  </si>
  <si>
    <t>LACOSTE</t>
  </si>
  <si>
    <t xml:space="preserve">CREED AVENTUS </t>
  </si>
  <si>
    <t>KHUSHBOO</t>
  </si>
  <si>
    <t>VIJAY</t>
  </si>
  <si>
    <t>AASTHA</t>
  </si>
  <si>
    <t>LV IMAGINATION</t>
  </si>
  <si>
    <t>MOGRA</t>
  </si>
  <si>
    <t>GULAB</t>
  </si>
  <si>
    <t xml:space="preserve">CHOCOLATE MUSK </t>
  </si>
  <si>
    <t>JAINIL</t>
  </si>
  <si>
    <t xml:space="preserve">PORTER </t>
  </si>
  <si>
    <t>JAIESH</t>
  </si>
  <si>
    <t xml:space="preserve">PERFUME MATERIAL </t>
  </si>
  <si>
    <t xml:space="preserve">COLOURS </t>
  </si>
  <si>
    <t xml:space="preserve">OILS </t>
  </si>
  <si>
    <t xml:space="preserve"> BOTTLE &amp;MEDICAL</t>
  </si>
  <si>
    <t>SANJAY  DHRUV</t>
  </si>
  <si>
    <t>MONICA JINAL</t>
  </si>
  <si>
    <t xml:space="preserve"> MONICA JAMES</t>
  </si>
  <si>
    <t>ASHISH TIRTH</t>
  </si>
  <si>
    <t>BY ORDER</t>
  </si>
  <si>
    <t>NAYAN</t>
  </si>
  <si>
    <t>MUTUAL</t>
  </si>
  <si>
    <t>DHRUV</t>
  </si>
  <si>
    <t xml:space="preserve">BHAVESH </t>
  </si>
  <si>
    <t>AKASH</t>
  </si>
  <si>
    <t xml:space="preserve">YASH </t>
  </si>
  <si>
    <t>FORAM MONICA</t>
  </si>
  <si>
    <t>PALLAVI MONICA</t>
  </si>
  <si>
    <t>MINALMONICA</t>
  </si>
  <si>
    <t>BHARAT MONICA</t>
  </si>
  <si>
    <t>GAURAV MONICA</t>
  </si>
  <si>
    <t>MONICA JESAL</t>
  </si>
  <si>
    <t>BNI</t>
  </si>
  <si>
    <t xml:space="preserve">MUKUND </t>
  </si>
  <si>
    <t>DUNHILL RED</t>
  </si>
  <si>
    <t>KESAR CHANDAN</t>
  </si>
  <si>
    <t xml:space="preserve">ARABIAN WOODY </t>
  </si>
  <si>
    <t xml:space="preserve">ARMANI MY WAY / ICONIC WAY </t>
  </si>
  <si>
    <t xml:space="preserve">CHEF THE PARTE </t>
  </si>
  <si>
    <t xml:space="preserve">KRISHNA PATHAK </t>
  </si>
  <si>
    <t>NILESH PATEL</t>
  </si>
  <si>
    <t xml:space="preserve">TOMFORD TOBACCO VANILLA </t>
  </si>
  <si>
    <t>MONICA</t>
  </si>
  <si>
    <t xml:space="preserve">HARSH </t>
  </si>
  <si>
    <t>HARSH</t>
  </si>
  <si>
    <t>COOL WATER WOMEN</t>
  </si>
  <si>
    <t>GAUTAM AHM</t>
  </si>
  <si>
    <t xml:space="preserve">KRISH </t>
  </si>
  <si>
    <t>ARVIND</t>
  </si>
  <si>
    <t>SANDEEP</t>
  </si>
  <si>
    <t>GUCCI FLORA</t>
  </si>
  <si>
    <t xml:space="preserve">STOCK LIST </t>
  </si>
  <si>
    <t xml:space="preserve">NAME </t>
  </si>
  <si>
    <t xml:space="preserve">QUANTITY IN STOCK </t>
  </si>
  <si>
    <t>50 ML</t>
  </si>
  <si>
    <t>30 ML</t>
  </si>
  <si>
    <t xml:space="preserve">TOTAL QTY </t>
  </si>
  <si>
    <t xml:space="preserve">BRUT </t>
  </si>
  <si>
    <t xml:space="preserve">ICEBERG </t>
  </si>
  <si>
    <t>HAWAS ICE</t>
  </si>
  <si>
    <t xml:space="preserve">DUNHILL BLUE </t>
  </si>
  <si>
    <t>R HAWAS</t>
  </si>
  <si>
    <t xml:space="preserve">JPG MALE </t>
  </si>
  <si>
    <t>TOBACCO VANILLA</t>
  </si>
  <si>
    <t xml:space="preserve">LV IMAGINATION </t>
  </si>
  <si>
    <t xml:space="preserve">PATEL NECK </t>
  </si>
  <si>
    <t xml:space="preserve">ELEXIR </t>
  </si>
  <si>
    <t xml:space="preserve">MOST WANTED </t>
  </si>
  <si>
    <t xml:space="preserve">YARA </t>
  </si>
  <si>
    <t xml:space="preserve">LACOSTE </t>
  </si>
  <si>
    <t>CREED AVENTUS</t>
  </si>
  <si>
    <t xml:space="preserve">20 ML </t>
  </si>
  <si>
    <t>100 ML</t>
  </si>
  <si>
    <t>COOL WATER M</t>
  </si>
  <si>
    <t>COOL WATER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</si>
</sst>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 &quot;₹&quot;\ * #,##0.00_ ;_ &quot;₹&quot;\ * \-#,##0.00_ ;_ &quot;₹&quot;\ * &quot;-&quot;??_ ;_ @_ "/>
    <numFmt numFmtId="164" formatCode="&quot;$&quot;#,##0.00"/>
    <numFmt numFmtId="165" formatCode="_ [$₹-4009]\ * #,##0.00_ ;_ [$₹-4009]\ * \-#,##0.00_ ;_ [$₹-4009]\ * &quot;-&quot;??_ ;_ @_ "/>
    <numFmt numFmtId="166" formatCode="&quot;$&quot;#,##0.00_);[Red]\(&quot;$&quot;#,##0.00\)"/>
    <numFmt numFmtId="167" formatCode="[&lt;=9999999]###\-####;\(###\)\ ###\-####"/>
    <numFmt numFmtId="168" formatCode="&quot;₹&quot;\ #,##0.00"/>
    <numFmt numFmtId="169" formatCode="[$-F800]dddd\,\ mmmm\ dd\,\ yyyy"/>
  </numFmts>
  <fonts count="41">
    <font>
      <sz val="11"/>
      <color theme="2" tint="-0.749961851863155"/>
      <name val="Calibri"/>
      <family val="2"/>
      <scheme val="minor"/>
    </font>
    <font>
      <sz val="10"/>
      <name val="Calibri"/>
      <family val="2"/>
      <scheme val="minor"/>
    </font>
    <font>
      <sz val="14"/>
      <color theme="4" tint="-0.24994659260841701"/>
      <name val="Calibri"/>
      <family val="2"/>
    </font>
    <font>
      <b/>
      <sz val="25"/>
      <color theme="0"/>
      <name val="Arial"/>
      <family val="2"/>
      <scheme val="major"/>
    </font>
    <font>
      <sz val="11"/>
      <color theme="2" tint="-0.8999603259376811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4659260841701"/>
      <name val="Calibri"/>
      <family val="2"/>
      <scheme val="minor"/>
    </font>
    <font>
      <sz val="14"/>
      <color theme="4" tint="-0.24994659260841701"/>
      <name val="Arial"/>
      <family val="2"/>
      <scheme val="major"/>
    </font>
    <font>
      <sz val="12"/>
      <color theme="4" tint="-0.499984740745262"/>
      <name val="Arial"/>
      <family val="2"/>
      <scheme val="major"/>
    </font>
    <font>
      <sz val="11"/>
      <color theme="4" tint="-0.24994659260841701"/>
      <name val="Calibri"/>
      <family val="2"/>
      <scheme val="minor"/>
    </font>
    <font>
      <sz val="11"/>
      <color theme="1" tint="0.14993743705557422"/>
      <name val="Calibri"/>
      <family val="2"/>
      <scheme val="minor"/>
    </font>
    <font>
      <sz val="11"/>
      <color theme="2" tint="-0.89989928891872917"/>
      <name val="Calibri"/>
      <family val="2"/>
      <scheme val="minor"/>
    </font>
    <font>
      <sz val="11"/>
      <color theme="4" tint="-0.24994659260841701"/>
      <name val="Arial"/>
      <family val="2"/>
      <scheme val="major"/>
    </font>
    <font>
      <sz val="11"/>
      <color theme="2" tint="-0.749961851863155"/>
      <name val="Calibri"/>
      <family val="2"/>
      <scheme val="minor"/>
    </font>
    <font>
      <sz val="22"/>
      <color theme="2" tint="-0.749961851863155"/>
      <name val="Calibri"/>
      <family val="2"/>
      <scheme val="minor"/>
    </font>
    <font>
      <sz val="24"/>
      <color theme="2" tint="-0.749961851863155"/>
      <name val="Calibri"/>
      <family val="2"/>
      <scheme val="minor"/>
    </font>
    <font>
      <sz val="9"/>
      <color theme="3"/>
      <name val="Arial"/>
      <family val="2"/>
      <charset val="238"/>
      <scheme val="major"/>
    </font>
    <font>
      <sz val="11"/>
      <color theme="1" tint="0.24994659260841701"/>
      <name val="Calibri"/>
      <family val="2"/>
      <scheme val="minor"/>
    </font>
    <font>
      <b/>
      <sz val="11"/>
      <color theme="1" tint="0.24994659260841701"/>
      <name val="Arial"/>
      <family val="1"/>
      <scheme val="major"/>
    </font>
    <font>
      <sz val="10"/>
      <name val="Tahoma"/>
      <family val="2"/>
    </font>
    <font>
      <b/>
      <sz val="11"/>
      <color theme="3"/>
      <name val="Calibri"/>
      <family val="2"/>
      <scheme val="minor"/>
    </font>
    <font>
      <b/>
      <sz val="11"/>
      <color theme="3"/>
      <name val="Arial"/>
      <family val="2"/>
      <scheme val="major"/>
    </font>
    <font>
      <b/>
      <sz val="16"/>
      <color theme="1" tint="0.24994659260841701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Arial"/>
      <family val="2"/>
      <scheme val="major"/>
    </font>
    <font>
      <sz val="10"/>
      <name val="Calibri"/>
      <family val="1"/>
      <scheme val="minor"/>
    </font>
    <font>
      <sz val="11"/>
      <name val="Calibri"/>
      <family val="2"/>
      <scheme val="minor"/>
    </font>
    <font>
      <sz val="11"/>
      <name val="Calibri"/>
      <scheme val="minor"/>
    </font>
    <font>
      <b/>
      <sz val="16"/>
      <name val="Calibri"/>
      <scheme val="minor"/>
    </font>
    <font>
      <b/>
      <sz val="16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sz val="12"/>
      <color theme="4" tint="-0.24994659260841701"/>
      <name val="Arial"/>
      <family val="2"/>
      <scheme val="major"/>
    </font>
    <font>
      <b/>
      <sz val="11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b/>
      <sz val="20"/>
      <color theme="1" tint="0.34998626667073579"/>
      <name val="Calibri"/>
      <family val="2"/>
      <scheme val="minor"/>
    </font>
    <font>
      <sz val="16"/>
      <color theme="4" tint="-0.24994659260841701"/>
      <name val="Calibri"/>
      <family val="2"/>
      <scheme val="minor"/>
    </font>
    <font>
      <b/>
      <sz val="16"/>
      <color theme="3"/>
      <name val="Calibri"/>
      <scheme val="minor"/>
    </font>
    <font>
      <sz val="36"/>
      <color theme="2" tint="-0.749961851863155"/>
      <name val="Calibri"/>
      <family val="2"/>
      <scheme val="minor"/>
    </font>
    <font>
      <b/>
      <sz val="11"/>
      <color theme="2" tint="-0.749961851863155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9"/>
        <bgColor indexed="2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theme="4"/>
      </left>
      <right style="thin">
        <color theme="4"/>
      </right>
      <top style="double">
        <color theme="4"/>
      </top>
      <bottom style="thin">
        <color theme="4"/>
      </bottom>
      <diagonal/>
    </border>
    <border>
      <left/>
      <right/>
      <top/>
      <bottom style="thick">
        <color theme="4" tint="0.59996337778862885"/>
      </bottom>
      <diagonal/>
    </border>
    <border>
      <left/>
      <right/>
      <top/>
      <bottom style="medium">
        <color theme="3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/>
      <right/>
      <top/>
      <bottom style="thin">
        <color theme="1" tint="0.34998626667073579"/>
      </bottom>
      <diagonal/>
    </border>
    <border>
      <left/>
      <right style="thin">
        <color theme="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7">
    <xf numFmtId="0" fontId="0" fillId="0" borderId="0" applyNumberFormat="0" applyFill="0" applyBorder="0">
      <alignment vertical="top" wrapText="1"/>
    </xf>
    <xf numFmtId="0" fontId="10" fillId="0" borderId="0" applyNumberFormat="0" applyFill="0" applyBorder="0" applyAlignment="0" applyProtection="0"/>
    <xf numFmtId="0" fontId="8" fillId="0" borderId="0" applyNumberFormat="0" applyFill="0" applyBorder="0" applyProtection="0">
      <alignment vertical="center"/>
    </xf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 wrapText="1"/>
    </xf>
    <xf numFmtId="0" fontId="3" fillId="3" borderId="2" applyNumberFormat="0" applyAlignment="0" applyProtection="0"/>
    <xf numFmtId="0" fontId="4" fillId="2" borderId="0" applyNumberFormat="0" applyBorder="0" applyAlignment="0" applyProtection="0"/>
    <xf numFmtId="0" fontId="7" fillId="0" borderId="0" applyFill="0" applyBorder="0" applyProtection="0">
      <alignment horizontal="left" vertical="center"/>
    </xf>
    <xf numFmtId="0" fontId="6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5" fillId="0" borderId="1" applyNumberFormat="0" applyAlignment="0" applyProtection="0"/>
    <xf numFmtId="0" fontId="12" fillId="0" borderId="0" applyFill="0" applyBorder="0" applyProtection="0">
      <alignment horizontal="left" vertical="center"/>
    </xf>
    <xf numFmtId="44" fontId="13" fillId="0" borderId="0" applyFont="0" applyFill="0" applyBorder="0" applyAlignment="0" applyProtection="0"/>
    <xf numFmtId="0" fontId="17" fillId="0" borderId="0">
      <alignment vertical="center"/>
    </xf>
    <xf numFmtId="14" fontId="17" fillId="0" borderId="0">
      <alignment horizontal="left" vertical="center"/>
    </xf>
    <xf numFmtId="0" fontId="17" fillId="0" borderId="0">
      <alignment vertical="center" wrapText="1"/>
    </xf>
    <xf numFmtId="0" fontId="17" fillId="0" borderId="5">
      <alignment horizontal="left" vertical="center" wrapText="1"/>
    </xf>
    <xf numFmtId="0" fontId="28" fillId="0" borderId="0">
      <alignment horizontal="left" wrapText="1" indent="1"/>
    </xf>
    <xf numFmtId="166" fontId="28" fillId="0" borderId="0" applyFont="0" applyFill="0" applyBorder="0" applyProtection="0">
      <alignment horizontal="right"/>
    </xf>
    <xf numFmtId="14" fontId="28" fillId="0" borderId="0" applyFont="0" applyFill="0" applyBorder="0">
      <alignment horizontal="right"/>
    </xf>
    <xf numFmtId="0" fontId="25" fillId="0" borderId="0" applyNumberFormat="0" applyFill="0" applyBorder="0" applyProtection="0">
      <alignment horizontal="center"/>
    </xf>
    <xf numFmtId="0" fontId="9" fillId="0" borderId="0" applyFill="0" applyProtection="0">
      <alignment horizontal="center" vertical="top"/>
    </xf>
    <xf numFmtId="0" fontId="33" fillId="0" borderId="0" applyFill="0" applyBorder="0" applyProtection="0">
      <alignment horizontal="center"/>
    </xf>
    <xf numFmtId="167" fontId="28" fillId="0" borderId="0" applyFont="0" applyFill="0" applyBorder="0">
      <alignment horizontal="left"/>
    </xf>
    <xf numFmtId="0" fontId="34" fillId="0" borderId="0" applyNumberFormat="0" applyFill="0" applyProtection="0">
      <alignment horizontal="left"/>
    </xf>
    <xf numFmtId="0" fontId="35" fillId="0" borderId="0" applyNumberFormat="0" applyFill="0" applyProtection="0">
      <alignment horizontal="right"/>
    </xf>
  </cellStyleXfs>
  <cellXfs count="93">
    <xf numFmtId="0" fontId="0" fillId="0" borderId="0" xfId="0">
      <alignment vertical="top" wrapText="1"/>
    </xf>
    <xf numFmtId="0" fontId="0" fillId="0" borderId="0" xfId="0" applyFont="1" applyProtection="1">
      <alignment vertical="top" wrapText="1"/>
    </xf>
    <xf numFmtId="0" fontId="0" fillId="0" borderId="0" xfId="0" applyFont="1" applyProtection="1">
      <alignment vertical="top" wrapText="1"/>
    </xf>
    <xf numFmtId="164" fontId="0" fillId="0" borderId="0" xfId="0" applyNumberFormat="1" applyFont="1" applyProtection="1">
      <alignment vertical="top" wrapText="1"/>
    </xf>
    <xf numFmtId="0" fontId="14" fillId="0" borderId="0" xfId="0" applyFont="1" applyProtection="1">
      <alignment vertical="top" wrapText="1"/>
    </xf>
    <xf numFmtId="0" fontId="15" fillId="0" borderId="0" xfId="0" applyFont="1" applyProtection="1">
      <alignment vertical="top" wrapText="1"/>
    </xf>
    <xf numFmtId="0" fontId="3" fillId="0" borderId="2" xfId="6" applyFill="1" applyAlignment="1">
      <alignment vertical="top"/>
    </xf>
    <xf numFmtId="0" fontId="0" fillId="0" borderId="0" xfId="0" applyFill="1" applyAlignment="1"/>
    <xf numFmtId="0" fontId="16" fillId="0" borderId="0" xfId="12" applyFont="1" applyFill="1" applyAlignment="1">
      <alignment horizontal="center" vertical="center"/>
    </xf>
    <xf numFmtId="0" fontId="0" fillId="0" borderId="0" xfId="0" applyAlignment="1"/>
    <xf numFmtId="14" fontId="17" fillId="0" borderId="0" xfId="15">
      <alignment horizontal="left" vertical="center"/>
    </xf>
    <xf numFmtId="0" fontId="0" fillId="0" borderId="0" xfId="16" applyFont="1">
      <alignment vertical="center" wrapText="1"/>
    </xf>
    <xf numFmtId="165" fontId="0" fillId="0" borderId="0" xfId="13" applyNumberFormat="1" applyFont="1" applyAlignment="1">
      <alignment vertical="center"/>
    </xf>
    <xf numFmtId="0" fontId="17" fillId="0" borderId="0" xfId="16">
      <alignment vertical="center" wrapText="1"/>
    </xf>
    <xf numFmtId="14" fontId="17" fillId="0" borderId="0" xfId="15" applyFill="1">
      <alignment horizontal="left" vertical="center"/>
    </xf>
    <xf numFmtId="0" fontId="0" fillId="0" borderId="0" xfId="16" applyFont="1" applyFill="1">
      <alignment vertical="center" wrapText="1"/>
    </xf>
    <xf numFmtId="44" fontId="0" fillId="0" borderId="0" xfId="13" applyFont="1" applyAlignment="1">
      <alignment vertical="center"/>
    </xf>
    <xf numFmtId="14" fontId="0" fillId="0" borderId="0" xfId="15" applyFont="1" applyFill="1">
      <alignment horizontal="left" vertical="center"/>
    </xf>
    <xf numFmtId="0" fontId="17" fillId="0" borderId="0" xfId="16" applyFill="1">
      <alignment vertical="center" wrapText="1"/>
    </xf>
    <xf numFmtId="0" fontId="19" fillId="0" borderId="0" xfId="0" applyFont="1" applyAlignment="1">
      <alignment horizontal="center"/>
    </xf>
    <xf numFmtId="0" fontId="7" fillId="0" borderId="0" xfId="8" applyAlignment="1">
      <alignment horizontal="right" vertical="center" indent="1"/>
    </xf>
    <xf numFmtId="0" fontId="21" fillId="0" borderId="0" xfId="3" applyFont="1" applyAlignment="1">
      <alignment horizontal="right" vertical="center" wrapText="1"/>
    </xf>
    <xf numFmtId="0" fontId="17" fillId="0" borderId="5" xfId="17">
      <alignment horizontal="left" vertical="center" wrapText="1"/>
    </xf>
    <xf numFmtId="0" fontId="0" fillId="0" borderId="5" xfId="17" applyFont="1" applyAlignment="1">
      <alignment horizontal="center" vertical="center"/>
    </xf>
    <xf numFmtId="165" fontId="22" fillId="5" borderId="5" xfId="17" applyNumberFormat="1" applyFont="1" applyFill="1" applyAlignment="1">
      <alignment horizontal="center" vertical="center"/>
    </xf>
    <xf numFmtId="0" fontId="17" fillId="0" borderId="5" xfId="17" applyFont="1" applyAlignment="1">
      <alignment horizontal="center" vertical="center"/>
    </xf>
    <xf numFmtId="165" fontId="20" fillId="0" borderId="6" xfId="13" applyNumberFormat="1" applyFont="1" applyBorder="1" applyAlignment="1">
      <alignment vertical="center"/>
    </xf>
    <xf numFmtId="165" fontId="22" fillId="4" borderId="0" xfId="0" applyNumberFormat="1" applyFont="1" applyFill="1" applyAlignment="1"/>
    <xf numFmtId="0" fontId="18" fillId="7" borderId="0" xfId="14" applyFont="1" applyFill="1" applyAlignment="1">
      <alignment horizontal="center" vertical="center"/>
    </xf>
    <xf numFmtId="165" fontId="23" fillId="4" borderId="4" xfId="13" applyNumberFormat="1" applyFont="1" applyFill="1" applyBorder="1" applyAlignment="1">
      <alignment vertical="center"/>
    </xf>
    <xf numFmtId="165" fontId="24" fillId="6" borderId="1" xfId="13" applyNumberFormat="1" applyFont="1" applyFill="1" applyBorder="1" applyAlignment="1">
      <alignment vertical="center"/>
    </xf>
    <xf numFmtId="165" fontId="0" fillId="0" borderId="0" xfId="16" applyNumberFormat="1" applyFont="1">
      <alignment vertical="center" wrapText="1"/>
    </xf>
    <xf numFmtId="0" fontId="26" fillId="8" borderId="8" xfId="12" applyFont="1" applyFill="1" applyBorder="1" applyProtection="1">
      <alignment horizontal="left" vertical="center"/>
    </xf>
    <xf numFmtId="0" fontId="26" fillId="8" borderId="9" xfId="12" applyFont="1" applyFill="1" applyBorder="1" applyProtection="1">
      <alignment horizontal="left" vertical="center"/>
    </xf>
    <xf numFmtId="0" fontId="26" fillId="8" borderId="10" xfId="12" applyFont="1" applyFill="1" applyBorder="1" applyProtection="1">
      <alignment horizontal="left" vertical="center"/>
    </xf>
    <xf numFmtId="0" fontId="26" fillId="8" borderId="11" xfId="12" applyFont="1" applyFill="1" applyBorder="1" applyProtection="1">
      <alignment horizontal="left" vertical="center"/>
    </xf>
    <xf numFmtId="0" fontId="26" fillId="8" borderId="7" xfId="12" applyFont="1" applyFill="1" applyBorder="1" applyProtection="1">
      <alignment horizontal="left" vertical="center"/>
    </xf>
    <xf numFmtId="14" fontId="26" fillId="8" borderId="7" xfId="12" applyNumberFormat="1" applyFont="1" applyFill="1" applyBorder="1" applyProtection="1">
      <alignment horizontal="left" vertical="center"/>
    </xf>
    <xf numFmtId="0" fontId="27" fillId="8" borderId="7" xfId="0" applyFont="1" applyFill="1" applyBorder="1" applyAlignment="1">
      <alignment horizontal="left" vertical="center" wrapText="1" indent="1"/>
    </xf>
    <xf numFmtId="10" fontId="28" fillId="8" borderId="7" xfId="4" applyNumberFormat="1" applyFont="1" applyFill="1" applyBorder="1" applyAlignment="1" applyProtection="1">
      <alignment vertical="center"/>
    </xf>
    <xf numFmtId="165" fontId="26" fillId="8" borderId="7" xfId="12" applyNumberFormat="1" applyFont="1" applyFill="1" applyBorder="1" applyProtection="1">
      <alignment horizontal="left" vertical="center"/>
    </xf>
    <xf numFmtId="44" fontId="26" fillId="8" borderId="7" xfId="13" applyFont="1" applyFill="1" applyBorder="1" applyAlignment="1" applyProtection="1">
      <alignment horizontal="left" vertical="center"/>
    </xf>
    <xf numFmtId="0" fontId="26" fillId="8" borderId="12" xfId="12" applyFont="1" applyFill="1" applyBorder="1" applyProtection="1">
      <alignment horizontal="left" vertical="center"/>
    </xf>
    <xf numFmtId="0" fontId="28" fillId="8" borderId="7" xfId="0" applyNumberFormat="1" applyFont="1" applyFill="1" applyBorder="1" applyAlignment="1" applyProtection="1">
      <alignment horizontal="left" vertical="center"/>
    </xf>
    <xf numFmtId="0" fontId="28" fillId="8" borderId="12" xfId="0" applyNumberFormat="1" applyFont="1" applyFill="1" applyBorder="1" applyAlignment="1" applyProtection="1">
      <alignment vertical="center" wrapText="1"/>
    </xf>
    <xf numFmtId="0" fontId="29" fillId="8" borderId="13" xfId="0" applyFont="1" applyFill="1" applyBorder="1" applyAlignment="1" applyProtection="1">
      <alignment vertical="center"/>
    </xf>
    <xf numFmtId="0" fontId="29" fillId="8" borderId="14" xfId="0" applyFont="1" applyFill="1" applyBorder="1" applyAlignment="1" applyProtection="1">
      <alignment vertical="center"/>
    </xf>
    <xf numFmtId="0" fontId="29" fillId="8" borderId="14" xfId="0" applyFont="1" applyFill="1" applyBorder="1" applyAlignment="1">
      <alignment horizontal="center" vertical="center"/>
    </xf>
    <xf numFmtId="0" fontId="29" fillId="8" borderId="14" xfId="0" applyFont="1" applyFill="1" applyBorder="1" applyAlignment="1">
      <alignment horizontal="left" vertical="center"/>
    </xf>
    <xf numFmtId="0" fontId="29" fillId="8" borderId="14" xfId="0" applyNumberFormat="1" applyFont="1" applyFill="1" applyBorder="1" applyAlignment="1" applyProtection="1">
      <alignment vertical="center" wrapText="1"/>
    </xf>
    <xf numFmtId="49" fontId="30" fillId="8" borderId="14" xfId="0" applyNumberFormat="1" applyFont="1" applyFill="1" applyBorder="1" applyAlignment="1" applyProtection="1">
      <alignment vertical="center" wrapText="1"/>
    </xf>
    <xf numFmtId="165" fontId="30" fillId="8" borderId="14" xfId="0" applyNumberFormat="1" applyFont="1" applyFill="1" applyBorder="1" applyAlignment="1" applyProtection="1">
      <alignment vertical="center" wrapText="1"/>
    </xf>
    <xf numFmtId="0" fontId="29" fillId="8" borderId="15" xfId="0" applyFont="1" applyFill="1" applyBorder="1" applyAlignment="1">
      <alignment vertical="top" wrapText="1"/>
    </xf>
    <xf numFmtId="0" fontId="28" fillId="0" borderId="0" xfId="18">
      <alignment horizontal="left" wrapText="1" indent="1"/>
    </xf>
    <xf numFmtId="0" fontId="28" fillId="0" borderId="0" xfId="18" applyBorder="1">
      <alignment horizontal="left" wrapText="1" indent="1"/>
    </xf>
    <xf numFmtId="14" fontId="0" fillId="0" borderId="0" xfId="20" applyFont="1" applyBorder="1" applyAlignment="1">
      <alignment horizontal="center"/>
    </xf>
    <xf numFmtId="0" fontId="32" fillId="0" borderId="0" xfId="18" applyFont="1" applyBorder="1">
      <alignment horizontal="left" wrapText="1" indent="1"/>
    </xf>
    <xf numFmtId="0" fontId="25" fillId="9" borderId="0" xfId="21" applyFill="1" applyBorder="1" applyAlignment="1" applyProtection="1">
      <alignment horizontal="center" wrapText="1"/>
      <protection locked="0" hidden="1"/>
    </xf>
    <xf numFmtId="0" fontId="25" fillId="9" borderId="0" xfId="21" applyFill="1" applyBorder="1" applyProtection="1">
      <alignment horizontal="center"/>
      <protection locked="0" hidden="1"/>
    </xf>
    <xf numFmtId="14" fontId="17" fillId="0" borderId="0" xfId="15" applyFill="1" applyAlignment="1">
      <alignment horizontal="center"/>
    </xf>
    <xf numFmtId="168" fontId="0" fillId="0" borderId="0" xfId="19" applyNumberFormat="1" applyFont="1" applyBorder="1">
      <alignment horizontal="right"/>
    </xf>
    <xf numFmtId="168" fontId="28" fillId="0" borderId="0" xfId="19" applyNumberFormat="1" applyFont="1" applyBorder="1">
      <alignment horizontal="right"/>
    </xf>
    <xf numFmtId="0" fontId="38" fillId="0" borderId="3" xfId="0" applyFont="1" applyFill="1" applyBorder="1" applyAlignment="1">
      <alignment vertical="center"/>
    </xf>
    <xf numFmtId="165" fontId="38" fillId="0" borderId="3" xfId="0" applyNumberFormat="1" applyFont="1" applyFill="1" applyBorder="1" applyAlignment="1">
      <alignment vertical="center"/>
    </xf>
    <xf numFmtId="165" fontId="17" fillId="0" borderId="0" xfId="16" applyNumberFormat="1">
      <alignment vertical="center" wrapText="1"/>
    </xf>
    <xf numFmtId="0" fontId="27" fillId="11" borderId="7" xfId="0" applyFont="1" applyFill="1" applyBorder="1" applyAlignment="1">
      <alignment horizontal="left" vertical="center" wrapText="1" indent="1"/>
    </xf>
    <xf numFmtId="10" fontId="28" fillId="11" borderId="7" xfId="4" applyNumberFormat="1" applyFont="1" applyFill="1" applyBorder="1" applyAlignment="1" applyProtection="1">
      <alignment vertical="center"/>
    </xf>
    <xf numFmtId="0" fontId="26" fillId="11" borderId="7" xfId="12" applyFont="1" applyFill="1" applyBorder="1" applyProtection="1">
      <alignment horizontal="left" vertical="center"/>
    </xf>
    <xf numFmtId="165" fontId="26" fillId="11" borderId="7" xfId="12" applyNumberFormat="1" applyFont="1" applyFill="1" applyBorder="1" applyProtection="1">
      <alignment horizontal="left" vertical="center"/>
    </xf>
    <xf numFmtId="44" fontId="26" fillId="11" borderId="7" xfId="13" applyFont="1" applyFill="1" applyBorder="1" applyAlignment="1" applyProtection="1">
      <alignment horizontal="left" vertical="center"/>
    </xf>
    <xf numFmtId="169" fontId="28" fillId="8" borderId="7" xfId="0" applyNumberFormat="1" applyFont="1" applyFill="1" applyBorder="1" applyAlignment="1" applyProtection="1">
      <alignment horizontal="center" vertical="center"/>
    </xf>
    <xf numFmtId="14" fontId="26" fillId="11" borderId="7" xfId="12" applyNumberFormat="1" applyFont="1" applyFill="1" applyBorder="1" applyProtection="1">
      <alignment horizontal="left" vertical="center"/>
    </xf>
    <xf numFmtId="0" fontId="28" fillId="11" borderId="7" xfId="0" applyNumberFormat="1" applyFont="1" applyFill="1" applyBorder="1" applyAlignment="1" applyProtection="1">
      <alignment horizontal="left" vertical="center"/>
    </xf>
    <xf numFmtId="0" fontId="0" fillId="0" borderId="0" xfId="16" applyFont="1" applyFill="1" applyAlignment="1">
      <alignment vertical="center" wrapText="1"/>
    </xf>
    <xf numFmtId="0" fontId="0" fillId="0" borderId="7" xfId="0" applyFont="1" applyBorder="1" applyProtection="1">
      <alignment vertical="top" wrapText="1"/>
    </xf>
    <xf numFmtId="14" fontId="28" fillId="8" borderId="7" xfId="0" applyNumberFormat="1" applyFont="1" applyFill="1" applyBorder="1" applyAlignment="1" applyProtection="1">
      <alignment horizontal="left" vertical="center"/>
    </xf>
    <xf numFmtId="0" fontId="0" fillId="0" borderId="5" xfId="17" applyFont="1">
      <alignment horizontal="left" vertical="center" wrapText="1"/>
    </xf>
    <xf numFmtId="0" fontId="17" fillId="0" borderId="5" xfId="17">
      <alignment horizontal="left" vertical="center" wrapText="1"/>
    </xf>
    <xf numFmtId="0" fontId="31" fillId="10" borderId="0" xfId="22" applyFont="1" applyFill="1" applyProtection="1">
      <alignment horizontal="center" vertical="top"/>
      <protection locked="0"/>
    </xf>
    <xf numFmtId="0" fontId="37" fillId="10" borderId="0" xfId="22" applyFont="1" applyFill="1" applyProtection="1">
      <alignment horizontal="center" vertical="top"/>
      <protection locked="0"/>
    </xf>
    <xf numFmtId="0" fontId="9" fillId="10" borderId="0" xfId="22" applyFill="1" applyProtection="1">
      <alignment horizontal="center" vertical="top"/>
      <protection locked="0"/>
    </xf>
    <xf numFmtId="0" fontId="36" fillId="10" borderId="0" xfId="25" applyNumberFormat="1" applyFont="1" applyFill="1" applyAlignment="1" applyProtection="1">
      <alignment horizontal="center"/>
      <protection locked="0"/>
    </xf>
    <xf numFmtId="14" fontId="28" fillId="11" borderId="7" xfId="0" applyNumberFormat="1" applyFont="1" applyFill="1" applyBorder="1" applyAlignment="1" applyProtection="1">
      <alignment horizontal="left" vertical="center"/>
    </xf>
    <xf numFmtId="14" fontId="28" fillId="8" borderId="7" xfId="0" applyNumberFormat="1" applyFont="1" applyFill="1" applyBorder="1" applyAlignment="1" applyProtection="1">
      <alignment horizontal="left" vertical="top"/>
    </xf>
    <xf numFmtId="0" fontId="39" fillId="0" borderId="0" xfId="0" applyFont="1">
      <alignment vertical="top" wrapText="1"/>
    </xf>
    <xf numFmtId="0" fontId="0" fillId="0" borderId="7" xfId="0" applyBorder="1">
      <alignment vertical="top" wrapText="1"/>
    </xf>
    <xf numFmtId="0" fontId="0" fillId="0" borderId="14" xfId="0" applyBorder="1">
      <alignment vertical="top" wrapText="1"/>
    </xf>
    <xf numFmtId="0" fontId="40" fillId="7" borderId="9" xfId="0" applyFont="1" applyFill="1" applyBorder="1">
      <alignment vertical="top" wrapText="1"/>
    </xf>
    <xf numFmtId="0" fontId="40" fillId="12" borderId="7" xfId="0" applyFont="1" applyFill="1" applyBorder="1" applyAlignment="1">
      <alignment horizontal="center" vertical="center" wrapText="1"/>
    </xf>
    <xf numFmtId="0" fontId="40" fillId="12" borderId="7" xfId="0" applyFont="1" applyFill="1" applyBorder="1" applyAlignment="1">
      <alignment horizontal="center" vertical="top" wrapText="1"/>
    </xf>
    <xf numFmtId="0" fontId="40" fillId="12" borderId="7" xfId="0" applyFont="1" applyFill="1" applyBorder="1">
      <alignment vertical="top" wrapText="1"/>
    </xf>
    <xf numFmtId="0" fontId="40" fillId="7" borderId="7" xfId="0" applyFont="1" applyFill="1" applyBorder="1">
      <alignment vertical="top" wrapText="1"/>
    </xf>
    <xf numFmtId="0" fontId="40" fillId="7" borderId="14" xfId="0" applyFont="1" applyFill="1" applyBorder="1">
      <alignment vertical="top" wrapText="1"/>
    </xf>
  </cellXfs>
  <cellStyles count="27">
    <cellStyle name="60% - Accent1" xfId="7" builtinId="32" customBuiltin="1"/>
    <cellStyle name="Currency" xfId="13" builtinId="4"/>
    <cellStyle name="Currency 2" xfId="19"/>
    <cellStyle name="Date" xfId="15"/>
    <cellStyle name="Date 2" xfId="20"/>
    <cellStyle name="Explanatory Text" xfId="10" builtinId="53" customBuiltin="1"/>
    <cellStyle name="Followed Hyperlink" xfId="5" builtinId="9" customBuiltin="1"/>
    <cellStyle name="Header Row" xfId="14"/>
    <cellStyle name="Heading 1" xfId="2" builtinId="16" customBuiltin="1"/>
    <cellStyle name="Heading 1 2" xfId="25"/>
    <cellStyle name="Heading 2" xfId="3" builtinId="17" customBuiltin="1"/>
    <cellStyle name="Heading 2 2" xfId="26"/>
    <cellStyle name="Heading 3" xfId="8" builtinId="18" customBuiltin="1"/>
    <cellStyle name="Heading 3 2" xfId="22"/>
    <cellStyle name="Heading 4" xfId="12" builtinId="19" customBuiltin="1"/>
    <cellStyle name="Heading 4 2" xfId="21"/>
    <cellStyle name="Hyperlink" xfId="1" builtinId="8" customBuiltin="1"/>
    <cellStyle name="Label Text" xfId="17"/>
    <cellStyle name="Normal" xfId="0" builtinId="0" customBuiltin="1"/>
    <cellStyle name="Normal 2" xfId="18"/>
    <cellStyle name="Percent" xfId="4" builtinId="5"/>
    <cellStyle name="Phone" xfId="24"/>
    <cellStyle name="Table Text" xfId="16"/>
    <cellStyle name="Title" xfId="6" builtinId="15" customBuiltin="1"/>
    <cellStyle name="Title 2" xfId="23"/>
    <cellStyle name="Total" xfId="11" builtinId="25" customBuiltin="1"/>
    <cellStyle name="Warning Text" xfId="9" builtinId="11" customBuiltin="1"/>
  </cellStyles>
  <dxfs count="67">
    <dxf>
      <font>
        <color rgb="FFFF0000"/>
      </font>
    </dxf>
    <dxf>
      <font>
        <color rgb="FFFF0000"/>
      </font>
    </dxf>
    <dxf>
      <fill>
        <patternFill patternType="solid">
          <fgColor theme="4" tint="0.59999389629810485"/>
          <bgColor theme="4" tint="0.59999389629810485"/>
        </patternFill>
      </fill>
    </dxf>
    <dxf>
      <fill>
        <patternFill patternType="solid">
          <fgColor theme="4" tint="0.59999389629810485"/>
          <bgColor theme="4" tint="0.59999389629810485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i val="0"/>
        <color auto="1"/>
      </font>
      <fill>
        <patternFill patternType="solid">
          <fgColor theme="4"/>
          <bgColor theme="4"/>
        </patternFill>
      </fill>
      <border>
        <top style="thick">
          <color theme="0"/>
        </top>
      </border>
    </dxf>
    <dxf>
      <font>
        <b/>
        <i val="0"/>
        <color theme="0"/>
      </font>
      <fill>
        <patternFill patternType="solid">
          <fgColor theme="4"/>
          <bgColor theme="4" tint="-0.499984740745262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4" tint="0.79998168889431442"/>
          <bgColor theme="4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65" formatCode="_ [$₹-4009]\ * #,##0.00_ ;_ [$₹-4009]\ * \-#,##0.00_ ;_ [$₹-4009]\ * &quot;-&quot;??_ ;_ @_ 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65" formatCode="_ [$₹-4009]\ * #,##0.00_ ;_ [$₹-4009]\ * \-#,##0.00_ ;_ [$₹-4009]\ * &quot;-&quot;??_ ;_ @_ 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65" formatCode="_ [$₹-4009]\ * #,##0.00_ ;_ [$₹-4009]\ * \-#,##0.00_ ;_ [$₹-4009]\ * &quot;-&quot;??_ ;_ @_ 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alignment horizontal="center" vertical="bottom" textRotation="0" wrapText="0" indent="0" justifyLastLine="0" shrinkToFit="0" readingOrder="0"/>
    </dxf>
    <dxf>
      <border diagonalUp="0" diagonalDown="0">
        <left/>
        <right/>
        <top/>
        <bottom style="thin">
          <color indexed="64"/>
        </bottom>
      </border>
    </dxf>
    <dxf>
      <fill>
        <patternFill patternType="solid">
          <fgColor indexed="64"/>
          <bgColor theme="4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Calibri"/>
        <scheme val="minor"/>
      </font>
      <numFmt numFmtId="165" formatCode="_ [$₹-4009]\ * #,##0.00_ ;_ [$₹-4009]\ * \-#,##0.00_ ;_ [$₹-4009]\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 style="medium">
          <color theme="3"/>
        </bottom>
      </border>
    </dxf>
    <dxf>
      <numFmt numFmtId="165" formatCode="_ [$₹-4009]\ * #,##0.00_ ;_ [$₹-4009]\ * \-#,##0.00_ ;_ [$₹-4009]\ * &quot;-&quot;??_ ;_ @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Calibri"/>
        <scheme val="minor"/>
      </font>
      <numFmt numFmtId="165" formatCode="_ [$₹-4009]\ * #,##0.00_ ;_ [$₹-4009]\ * \-#,##0.00_ ;_ [$₹-4009]\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 style="medium">
          <color theme="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Calibri"/>
        <scheme val="minor"/>
      </font>
      <numFmt numFmtId="165" formatCode="_ [$₹-4009]\ * #,##0.00_ ;_ [$₹-4009]\ * \-#,##0.00_ ;_ [$₹-4009]\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 style="medium">
          <color theme="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Calibri"/>
        <scheme val="minor"/>
      </font>
      <numFmt numFmtId="165" formatCode="_ [$₹-4009]\ * #,##0.00_ ;_ [$₹-4009]\ * \-#,##0.00_ ;_ [$₹-4009]\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 style="medium">
          <color theme="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Calibri"/>
        <scheme val="minor"/>
      </font>
      <numFmt numFmtId="165" formatCode="_ [$₹-4009]\ * #,##0.00_ ;_ [$₹-4009]\ * \-#,##0.00_ ;_ [$₹-4009]\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 style="medium">
          <color theme="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Calibri"/>
        <scheme val="minor"/>
      </font>
      <numFmt numFmtId="165" formatCode="_ [$₹-4009]\ * #,##0.00_ ;_ [$₹-4009]\ * \-#,##0.00_ ;_ [$₹-4009]\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 style="medium">
          <color theme="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61851863155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 style="medium">
          <color theme="3"/>
        </bottom>
      </border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 style="medium">
          <color theme="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 style="medium">
          <color theme="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 style="medium">
          <color theme="3"/>
        </bottom>
      </border>
    </dxf>
    <dxf>
      <font>
        <b/>
        <strike val="0"/>
        <outline val="0"/>
        <shadow val="0"/>
        <u val="none"/>
        <vertAlign val="baseline"/>
        <sz val="16"/>
        <color theme="3"/>
        <name val="Calibri"/>
        <scheme val="minor"/>
      </font>
    </dxf>
    <dxf>
      <alignment horizontal="general" vertical="bottom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 tint="0.24994659260841701"/>
        <name val="Arial"/>
        <scheme val="maj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/>
        </patternFill>
      </fill>
      <alignment horizontal="general"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color auto="1"/>
      </font>
      <numFmt numFmtId="165" formatCode="_ [$₹-4009]\ * #,##0.00_ ;_ [$₹-4009]\ * \-#,##0.00_ ;_ [$₹-4009]\ * &quot;-&quot;??_ ;_ @_ "/>
      <fill>
        <patternFill patternType="solid">
          <fgColor indexed="64"/>
          <bgColor theme="0"/>
        </patternFill>
      </fill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auto="1"/>
      </font>
      <numFmt numFmtId="165" formatCode="_ [$₹-4009]\ * #,##0.00_ ;_ [$₹-4009]\ * \-#,##0.00_ ;_ [$₹-4009]\ * &quot;-&quot;??_ ;_ @_ "/>
      <fill>
        <patternFill patternType="solid">
          <fgColor indexed="64"/>
          <bgColor theme="0"/>
        </patternFill>
      </fill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auto="1"/>
      </font>
      <numFmt numFmtId="165" formatCode="_ [$₹-4009]\ * #,##0.00_ ;_ [$₹-4009]\ * \-#,##0.00_ ;_ [$₹-4009]\ * &quot;-&quot;??_ ;_ @_ "/>
      <fill>
        <patternFill patternType="solid">
          <fgColor indexed="64"/>
          <bgColor theme="0"/>
        </patternFill>
      </fill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color auto="1"/>
      </font>
      <numFmt numFmtId="14" formatCode="0.00%"/>
      <fill>
        <patternFill patternType="solid">
          <fgColor indexed="64"/>
          <bgColor theme="0"/>
        </patternFill>
      </fill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auto="1"/>
      </font>
      <numFmt numFmtId="170" formatCode="m/d/yyyy"/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color auto="1"/>
      </font>
      <numFmt numFmtId="30" formatCode="@"/>
      <fill>
        <patternFill patternType="solid">
          <fgColor indexed="64"/>
          <bgColor theme="0"/>
        </patternFill>
      </fill>
      <alignment horizontal="general" vertical="center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color theme="1" tint="4.9989318521683403E-2"/>
      </font>
    </dxf>
    <dxf>
      <font>
        <b/>
        <color theme="4" tint="-0.249977111117893"/>
      </font>
    </dxf>
    <dxf>
      <font>
        <b/>
        <i val="0"/>
        <color theme="4" tint="-0.499984740745262"/>
      </font>
      <border>
        <left style="thin">
          <color theme="4"/>
        </left>
        <right style="thin">
          <color theme="4"/>
        </right>
        <top style="double">
          <color theme="4"/>
        </top>
        <bottom style="thin">
          <color theme="4"/>
        </bottom>
      </border>
    </dxf>
    <dxf>
      <font>
        <b val="0"/>
        <i val="0"/>
        <color theme="4" tint="-0.24994659260841701"/>
      </font>
      <border>
        <left style="thin">
          <color theme="4"/>
        </left>
        <right style="thin">
          <color theme="4"/>
        </right>
        <top style="thin">
          <color theme="4"/>
        </top>
        <vertical/>
        <horizontal/>
      </border>
    </dxf>
    <dxf>
      <font>
        <b val="0"/>
        <i val="0"/>
        <color theme="3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gradientFill degree="90">
          <stop position="0">
            <color theme="3"/>
          </stop>
          <stop position="1">
            <color theme="3"/>
          </stop>
        </gradient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3" defaultTableStyle="Sales Invoice Table" defaultPivotStyle="PivotStyleLight16">
    <tableStyle name="Business Table" pivot="0" count="3">
      <tableStyleElement type="wholeTable" dxfId="66"/>
      <tableStyleElement type="headerRow" dxfId="65"/>
      <tableStyleElement type="secondRowStripe" dxfId="64"/>
    </tableStyle>
    <tableStyle name="InventoryTable" pivot="0" count="7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Sales Invoice Table" pivot="0" count="7">
      <tableStyleElement type="wholeTable" dxfId="63"/>
      <tableStyleElement type="headerRow" dxfId="62"/>
      <tableStyleElement type="totalRow" dxfId="61"/>
      <tableStyleElement type="firstColumn" dxfId="60"/>
      <tableStyleElement type="lastColumn" dxfId="59"/>
      <tableStyleElement type="firstRowStripe" dxfId="58"/>
      <tableStyleElement type="firstColumnStripe" dxfId="5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A99B2"/>
      <color rgb="FF0F57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76310</xdr:rowOff>
    </xdr:from>
    <xdr:to>
      <xdr:col>11</xdr:col>
      <xdr:colOff>440408</xdr:colOff>
      <xdr:row>2</xdr:row>
      <xdr:rowOff>390526</xdr:rowOff>
    </xdr:to>
    <xdr:pic>
      <xdr:nvPicPr>
        <xdr:cNvPr id="2" name="Picture 1" descr="Decorative element">
          <a:extLst>
            <a:ext uri="{FF2B5EF4-FFF2-40B4-BE49-F238E27FC236}">
              <a16:creationId xmlns="" xmlns:a16="http://schemas.microsoft.com/office/drawing/2014/main" id="{176D453D-B275-4B67-8513-9119E05DAF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76310"/>
          <a:ext cx="13089608" cy="904766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1</xdr:row>
      <xdr:rowOff>0</xdr:rowOff>
    </xdr:from>
    <xdr:to>
      <xdr:col>11</xdr:col>
      <xdr:colOff>0</xdr:colOff>
      <xdr:row>1</xdr:row>
      <xdr:rowOff>530679</xdr:rowOff>
    </xdr:to>
    <xdr:sp macro="" textlink="">
      <xdr:nvSpPr>
        <xdr:cNvPr id="3" name="TextBox 2" descr="For Office Use Only">
          <a:extLst>
            <a:ext uri="{FF2B5EF4-FFF2-40B4-BE49-F238E27FC236}">
              <a16:creationId xmlns="" xmlns:a16="http://schemas.microsoft.com/office/drawing/2014/main" id="{1325645F-D335-41E2-BA58-3124C8D31FBF}"/>
            </a:ext>
          </a:extLst>
        </xdr:cNvPr>
        <xdr:cNvSpPr txBox="1"/>
      </xdr:nvSpPr>
      <xdr:spPr>
        <a:xfrm>
          <a:off x="10220325" y="0"/>
          <a:ext cx="2238375" cy="5306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144000" rIns="144000" rtlCol="0" anchor="t"/>
        <a:lstStyle/>
        <a:p>
          <a:pPr algn="r"/>
          <a:r>
            <a:rPr lang="en-GB" sz="1100" b="0">
              <a:solidFill>
                <a:schemeClr val="bg1"/>
              </a:solidFill>
            </a:rPr>
            <a:t>For Office Use Only</a:t>
          </a:r>
        </a:p>
      </xdr:txBody>
    </xdr:sp>
    <xdr:clientData/>
  </xdr:twoCellAnchor>
  <xdr:twoCellAnchor>
    <xdr:from>
      <xdr:col>0</xdr:col>
      <xdr:colOff>179915</xdr:colOff>
      <xdr:row>0</xdr:row>
      <xdr:rowOff>209550</xdr:rowOff>
    </xdr:from>
    <xdr:to>
      <xdr:col>10</xdr:col>
      <xdr:colOff>804333</xdr:colOff>
      <xdr:row>2</xdr:row>
      <xdr:rowOff>0</xdr:rowOff>
    </xdr:to>
    <xdr:sp macro="" textlink="">
      <xdr:nvSpPr>
        <xdr:cNvPr id="4" name="TextBox 3" descr="Title&#10;">
          <a:extLst>
            <a:ext uri="{FF2B5EF4-FFF2-40B4-BE49-F238E27FC236}">
              <a16:creationId xmlns="" xmlns:a16="http://schemas.microsoft.com/office/drawing/2014/main" id="{A11B9180-B5B4-463D-937A-DBA7D4571D79}"/>
            </a:ext>
          </a:extLst>
        </xdr:cNvPr>
        <xdr:cNvSpPr txBox="1"/>
      </xdr:nvSpPr>
      <xdr:spPr>
        <a:xfrm>
          <a:off x="179915" y="209550"/>
          <a:ext cx="11930593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16000" tIns="144000" rIns="144000" bIns="288000" rtlCol="0" anchor="ctr" anchorCtr="0"/>
        <a:lstStyle/>
        <a:p>
          <a:pPr algn="ctr"/>
          <a:r>
            <a:rPr lang="en-GB" sz="3200">
              <a:solidFill>
                <a:schemeClr val="bg1"/>
              </a:solidFill>
              <a:effectLst/>
              <a:latin typeface="+mj-lt"/>
              <a:ea typeface="+mn-ea"/>
              <a:cs typeface="+mn-cs"/>
            </a:rPr>
            <a:t>Expense Report LUXORA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3" name="InvoicesMain" displayName="InvoicesMain" ref="B4:L118" totalsRowCount="1" headerRowDxfId="56" dataDxfId="54" totalsRowDxfId="52" headerRowBorderDxfId="55" tableBorderDxfId="53" totalsRowBorderDxfId="51" headerRowCellStyle="Heading 4">
  <autoFilter ref="B4:L117"/>
  <tableColumns count="11">
    <tableColumn id="1" name="Invoice #" totalsRowLabel="Totals" dataDxfId="50" totalsRowDxfId="19"/>
    <tableColumn id="12" name="CUSTOMER" dataDxfId="49" totalsRowDxfId="18" dataCellStyle="Heading 4"/>
    <tableColumn id="3" name="Invoice Date" dataDxfId="48" totalsRowDxfId="17"/>
    <tableColumn id="4" name="PRODUCT " dataDxfId="47" totalsRowDxfId="16"/>
    <tableColumn id="8" name="Tax Rate" dataDxfId="46" totalsRowDxfId="15" dataCellStyle="Percent"/>
    <tableColumn id="11" name="ML" totalsRowFunction="sum" dataDxfId="45" totalsRowDxfId="14" dataCellStyle="Percent"/>
    <tableColumn id="6" name="QTY" totalsRowFunction="sum" dataDxfId="44" totalsRowDxfId="13"/>
    <tableColumn id="7" name="PRICE" totalsRowFunction="sum" dataDxfId="43" totalsRowDxfId="12">
      <calculatedColumnFormula>SUMIF(#REF!,"="&amp;InvoicesMain[[#This Row],[Invoice '#]],#REF!)</calculatedColumnFormula>
    </tableColumn>
    <tableColumn id="10" name="Invoice Total" totalsRowFunction="sum" dataDxfId="42" totalsRowDxfId="11">
      <calculatedColumnFormula>(InvoicesMain[[#This Row],[PRICE]]*(1+InvoicesMain[[#This Row],[Tax Rate]]))+#REF!-InvoicesMain[[#This Row],[QTY]]</calculatedColumnFormula>
    </tableColumn>
    <tableColumn id="9" name="PAYMENT " dataDxfId="41" totalsRowDxfId="10" dataCellStyle="Heading 4"/>
    <tableColumn id="5" name="NOTE" dataDxfId="40" totalsRowDxfId="9"/>
  </tableColumns>
  <tableStyleInfo name="Sales Invoice Table" showFirstColumn="0" showLastColumn="0" showRowStripes="1" showColumnStripes="0"/>
  <extLst>
    <ext xmlns:x14="http://schemas.microsoft.com/office/spreadsheetml/2009/9/main" uri="{504A1905-F514-4f6f-8877-14C23A59335A}">
      <x14:table altTextSummary="Invoice list with invoice #, company, invoice date, project description, tax rate, other, deposit, detail total, invoice total and notes"/>
    </ext>
  </extLst>
</table>
</file>

<file path=xl/tables/table2.xml><?xml version="1.0" encoding="utf-8"?>
<table xmlns="http://schemas.openxmlformats.org/spreadsheetml/2006/main" id="1" name="ExpenseData" displayName="ExpenseData" ref="B5:K50" totalsRowCount="1" headerRowDxfId="39" dataDxfId="38" totalsRowDxfId="37" headerRowCellStyle="Header Row">
  <tableColumns count="10">
    <tableColumn id="1" name="Date" totalsRowLabel="Total" totalsRowDxfId="36" dataCellStyle="Date"/>
    <tableColumn id="2" name="Account" totalsRowDxfId="35" dataCellStyle="Table Text"/>
    <tableColumn id="3" name="Description" totalsRowDxfId="34" dataCellStyle="Table Text"/>
    <tableColumn id="9" name="NOTES" dataDxfId="33" totalsRowDxfId="32" dataCellStyle="Table Text"/>
    <tableColumn id="4" name="AMOUNT " totalsRowFunction="sum" dataDxfId="31" totalsRowDxfId="30" dataCellStyle="Table Text"/>
    <tableColumn id="6" name="TRANSPORT " totalsRowFunction="sum" totalsRowDxfId="29" dataCellStyle="Currency"/>
    <tableColumn id="7" name="Meals" totalsRowFunction="sum" totalsRowDxfId="28" dataCellStyle="Currency"/>
    <tableColumn id="8" name="Phone" totalsRowFunction="sum" totalsRowDxfId="27" dataCellStyle="Currency"/>
    <tableColumn id="11" name="Misc." totalsRowFunction="sum" totalsRowDxfId="26" dataCellStyle="Currency"/>
    <tableColumn id="12" name="Total" totalsRowFunction="sum" dataDxfId="25" totalsRowDxfId="24" dataCellStyle="Currency">
      <calculatedColumnFormula>SUM(ExpenseData[[#This Row],[AMOUNT ]:[Misc.]])</calculatedColumnFormula>
    </tableColumn>
  </tableColumns>
  <tableStyleInfo name="Business Table" showFirstColumn="0" showLastColumn="0" showRowStripes="1" showColumnStripes="0"/>
  <extLst>
    <ext xmlns:x14="http://schemas.microsoft.com/office/spreadsheetml/2009/9/main" uri="{504A1905-F514-4f6f-8877-14C23A59335A}">
      <x14:table altTextSummary="Enter expenses by date, account with description, &amp; various expenses by category in this table to calculate the total expenses incurred by employee"/>
    </ext>
  </extLst>
</table>
</file>

<file path=xl/tables/table3.xml><?xml version="1.0" encoding="utf-8"?>
<table xmlns="http://schemas.openxmlformats.org/spreadsheetml/2006/main" id="2" name="Data" displayName="Data" ref="D6:H95" totalsRowShown="0" headerRowDxfId="23" tableBorderDxfId="22" headerRowCellStyle="Heading 4">
  <autoFilter ref="D6:H95"/>
  <tableColumns count="5">
    <tableColumn id="1" name="DATE" dataDxfId="21" dataCellStyle="Date"/>
    <tableColumn id="2" name="DESCRIPTION" dataCellStyle="Normal"/>
    <tableColumn id="3" name="DEBIT" dataCellStyle="Currency"/>
    <tableColumn id="4" name="CREDITS" dataCellStyle="Currency"/>
    <tableColumn id="5" name="ACCOUNT _x000a_BALANCE" dataDxfId="20" dataCellStyle="Currency">
      <calculatedColumnFormula>IFERROR(IF(ISERROR(IF(OR(F7,G7),(F7-G7),)),"",IF(OR(F7,G7),(F7-G7),)), "")</calculatedColumnFormula>
    </tableColumn>
  </tableColumns>
  <tableStyleInfo name="TableStyleLight16" showFirstColumn="0" showLastColumn="0" showRowStripes="1" showColumnStripes="0"/>
  <extLst>
    <ext xmlns:x14="http://schemas.microsoft.com/office/spreadsheetml/2009/9/main" uri="{504A1905-F514-4f6f-8877-14C23A59335A}">
      <x14:table altTextSummary="Enter Date, Description, Charges, and Credits in this table. Account Balance is automatically calculated"/>
    </ext>
  </extLst>
</table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/>
    <pageSetUpPr autoPageBreaks="0" fitToPage="1"/>
  </sheetPr>
  <dimension ref="A1:L118"/>
  <sheetViews>
    <sheetView showGridLines="0" topLeftCell="B64" zoomScale="115" zoomScaleNormal="115" workbookViewId="0">
      <selection activeCell="E7" sqref="E7"/>
    </sheetView>
  </sheetViews>
  <sheetFormatPr defaultColWidth="18.5703125" defaultRowHeight="15"/>
  <cols>
    <col min="1" max="1" width="18.28515625" style="1" bestFit="1" customWidth="1"/>
    <col min="2" max="2" width="11.42578125" style="1" bestFit="1" customWidth="1"/>
    <col min="3" max="3" width="19.5703125" style="2" bestFit="1" customWidth="1"/>
    <col min="4" max="4" width="14.7109375" style="1" bestFit="1" customWidth="1"/>
    <col min="5" max="5" width="29.85546875" style="1" bestFit="1" customWidth="1"/>
    <col min="6" max="6" width="11.7109375" style="3" bestFit="1" customWidth="1"/>
    <col min="7" max="7" width="7.85546875" style="3" bestFit="1" customWidth="1"/>
    <col min="8" max="8" width="7.5703125" style="3" bestFit="1" customWidth="1"/>
    <col min="9" max="10" width="18.28515625" style="3" bestFit="1" customWidth="1"/>
    <col min="11" max="11" width="13.5703125" style="3" bestFit="1" customWidth="1"/>
    <col min="12" max="12" width="13.140625" style="1" bestFit="1" customWidth="1"/>
    <col min="13" max="16384" width="18.5703125" style="1"/>
  </cols>
  <sheetData>
    <row r="1" spans="1:12" s="2" customFormat="1" ht="28.5">
      <c r="A1" s="4" t="s">
        <v>21</v>
      </c>
      <c r="F1" s="3"/>
      <c r="G1" s="3"/>
      <c r="H1" s="3"/>
      <c r="I1" s="3"/>
      <c r="J1" s="3"/>
      <c r="K1" s="3"/>
    </row>
    <row r="2" spans="1:12" s="2" customFormat="1" ht="31.5">
      <c r="A2" s="5" t="s">
        <v>22</v>
      </c>
      <c r="F2" s="3"/>
      <c r="G2" s="3"/>
      <c r="H2" s="3"/>
      <c r="I2" s="3"/>
      <c r="J2" s="3"/>
      <c r="K2" s="3"/>
    </row>
    <row r="3" spans="1:12" s="2" customFormat="1" ht="31.5">
      <c r="A3" s="5"/>
      <c r="F3" s="3"/>
      <c r="G3" s="3"/>
      <c r="H3" s="3"/>
      <c r="I3" s="3">
        <v>4000</v>
      </c>
      <c r="J3" s="3"/>
      <c r="K3" s="3"/>
    </row>
    <row r="4" spans="1:12">
      <c r="A4" s="74" t="s">
        <v>107</v>
      </c>
      <c r="B4" s="32" t="s">
        <v>2</v>
      </c>
      <c r="C4" s="33" t="s">
        <v>14</v>
      </c>
      <c r="D4" s="33" t="s">
        <v>1</v>
      </c>
      <c r="E4" s="33" t="s">
        <v>6</v>
      </c>
      <c r="F4" s="33" t="s">
        <v>0</v>
      </c>
      <c r="G4" s="33" t="s">
        <v>13</v>
      </c>
      <c r="H4" s="33" t="s">
        <v>7</v>
      </c>
      <c r="I4" s="33" t="s">
        <v>9</v>
      </c>
      <c r="J4" s="33" t="s">
        <v>3</v>
      </c>
      <c r="K4" s="33" t="s">
        <v>52</v>
      </c>
      <c r="L4" s="34" t="s">
        <v>66</v>
      </c>
    </row>
    <row r="5" spans="1:12" s="2" customFormat="1">
      <c r="A5" s="74" t="s">
        <v>5</v>
      </c>
      <c r="B5" s="35">
        <v>1</v>
      </c>
      <c r="C5" s="36" t="s">
        <v>15</v>
      </c>
      <c r="D5" s="71">
        <v>46053</v>
      </c>
      <c r="E5" s="65" t="s">
        <v>8</v>
      </c>
      <c r="F5" s="66">
        <v>0</v>
      </c>
      <c r="G5" s="65">
        <v>8</v>
      </c>
      <c r="H5" s="67">
        <v>80</v>
      </c>
      <c r="I5" s="68"/>
      <c r="J5" s="69">
        <f>InvoicesMain[[#This Row],[PRICE]]*InvoicesMain[[#This Row],[QTY]]</f>
        <v>0</v>
      </c>
      <c r="K5" s="69" t="s">
        <v>53</v>
      </c>
      <c r="L5" s="42"/>
    </row>
    <row r="6" spans="1:12" s="2" customFormat="1">
      <c r="A6" s="74" t="s">
        <v>84</v>
      </c>
      <c r="B6" s="35">
        <f t="shared" ref="B6:B15" si="0">B5+1</f>
        <v>2</v>
      </c>
      <c r="C6" s="36" t="s">
        <v>16</v>
      </c>
      <c r="D6" s="71">
        <v>46053</v>
      </c>
      <c r="E6" s="65" t="s">
        <v>10</v>
      </c>
      <c r="F6" s="66">
        <v>0</v>
      </c>
      <c r="G6" s="65">
        <v>100</v>
      </c>
      <c r="H6" s="65">
        <v>1</v>
      </c>
      <c r="I6" s="68">
        <v>900</v>
      </c>
      <c r="J6" s="69">
        <f>InvoicesMain[[#This Row],[PRICE]]*InvoicesMain[[#This Row],[QTY]]</f>
        <v>900</v>
      </c>
      <c r="K6" s="69" t="s">
        <v>53</v>
      </c>
      <c r="L6" s="42"/>
    </row>
    <row r="7" spans="1:12" s="2" customFormat="1">
      <c r="A7" s="74" t="s">
        <v>84</v>
      </c>
      <c r="B7" s="35">
        <f t="shared" si="0"/>
        <v>3</v>
      </c>
      <c r="C7" s="36" t="s">
        <v>16</v>
      </c>
      <c r="D7" s="71">
        <v>46053</v>
      </c>
      <c r="E7" s="65" t="s">
        <v>11</v>
      </c>
      <c r="F7" s="66">
        <v>0</v>
      </c>
      <c r="G7" s="65">
        <v>100</v>
      </c>
      <c r="H7" s="65">
        <v>1</v>
      </c>
      <c r="I7" s="68">
        <v>900</v>
      </c>
      <c r="J7" s="69">
        <f>InvoicesMain[[#This Row],[PRICE]]*InvoicesMain[[#This Row],[QTY]]</f>
        <v>900</v>
      </c>
      <c r="K7" s="69" t="s">
        <v>53</v>
      </c>
      <c r="L7" s="42"/>
    </row>
    <row r="8" spans="1:12" s="2" customFormat="1">
      <c r="A8" s="74" t="s">
        <v>84</v>
      </c>
      <c r="B8" s="35">
        <f t="shared" si="0"/>
        <v>4</v>
      </c>
      <c r="C8" s="36" t="s">
        <v>106</v>
      </c>
      <c r="D8" s="71">
        <v>46053</v>
      </c>
      <c r="E8" s="65" t="s">
        <v>12</v>
      </c>
      <c r="F8" s="66">
        <v>0</v>
      </c>
      <c r="G8" s="65">
        <v>50</v>
      </c>
      <c r="H8" s="65">
        <v>1</v>
      </c>
      <c r="I8" s="68">
        <v>650</v>
      </c>
      <c r="J8" s="69">
        <f>InvoicesMain[[#This Row],[PRICE]]*InvoicesMain[[#This Row],[QTY]]</f>
        <v>650</v>
      </c>
      <c r="K8" s="69" t="s">
        <v>53</v>
      </c>
      <c r="L8" s="42"/>
    </row>
    <row r="9" spans="1:12" s="2" customFormat="1">
      <c r="A9" s="74" t="s">
        <v>84</v>
      </c>
      <c r="B9" s="35">
        <f t="shared" si="0"/>
        <v>5</v>
      </c>
      <c r="C9" s="36" t="s">
        <v>18</v>
      </c>
      <c r="D9" s="71">
        <v>46053</v>
      </c>
      <c r="E9" s="65" t="s">
        <v>12</v>
      </c>
      <c r="F9" s="66">
        <v>0</v>
      </c>
      <c r="G9" s="65">
        <v>50</v>
      </c>
      <c r="H9" s="65">
        <v>1</v>
      </c>
      <c r="I9" s="68">
        <v>650</v>
      </c>
      <c r="J9" s="69">
        <f>InvoicesMain[[#This Row],[PRICE]]*InvoicesMain[[#This Row],[QTY]]</f>
        <v>650</v>
      </c>
      <c r="K9" s="69" t="s">
        <v>53</v>
      </c>
      <c r="L9" s="42"/>
    </row>
    <row r="10" spans="1:12" s="2" customFormat="1">
      <c r="A10" s="74" t="s">
        <v>84</v>
      </c>
      <c r="B10" s="35">
        <f t="shared" si="0"/>
        <v>6</v>
      </c>
      <c r="C10" s="36" t="s">
        <v>19</v>
      </c>
      <c r="D10" s="71">
        <v>46053</v>
      </c>
      <c r="E10" s="65" t="s">
        <v>10</v>
      </c>
      <c r="F10" s="66">
        <v>0</v>
      </c>
      <c r="G10" s="65">
        <v>50</v>
      </c>
      <c r="H10" s="65">
        <v>1</v>
      </c>
      <c r="I10" s="68">
        <v>700</v>
      </c>
      <c r="J10" s="69">
        <f>InvoicesMain[[#This Row],[PRICE]]*InvoicesMain[[#This Row],[QTY]]</f>
        <v>700</v>
      </c>
      <c r="K10" s="69" t="s">
        <v>53</v>
      </c>
      <c r="L10" s="42"/>
    </row>
    <row r="11" spans="1:12" s="2" customFormat="1">
      <c r="A11" s="74" t="s">
        <v>84</v>
      </c>
      <c r="B11" s="35">
        <f t="shared" si="0"/>
        <v>7</v>
      </c>
      <c r="C11" s="36" t="s">
        <v>17</v>
      </c>
      <c r="D11" s="71">
        <v>46053</v>
      </c>
      <c r="E11" s="65" t="s">
        <v>11</v>
      </c>
      <c r="F11" s="66">
        <v>0</v>
      </c>
      <c r="G11" s="65">
        <v>50</v>
      </c>
      <c r="H11" s="65">
        <v>1</v>
      </c>
      <c r="I11" s="68">
        <v>650</v>
      </c>
      <c r="J11" s="69">
        <f>InvoicesMain[[#This Row],[PRICE]]*InvoicesMain[[#This Row],[QTY]]</f>
        <v>650</v>
      </c>
      <c r="K11" s="69" t="s">
        <v>53</v>
      </c>
      <c r="L11" s="42" t="s">
        <v>5</v>
      </c>
    </row>
    <row r="12" spans="1:12" s="2" customFormat="1">
      <c r="A12" s="74" t="s">
        <v>46</v>
      </c>
      <c r="B12" s="35">
        <f t="shared" si="0"/>
        <v>8</v>
      </c>
      <c r="C12" s="36" t="s">
        <v>46</v>
      </c>
      <c r="D12" s="71">
        <v>46032</v>
      </c>
      <c r="E12" s="67" t="s">
        <v>47</v>
      </c>
      <c r="F12" s="66">
        <v>0</v>
      </c>
      <c r="G12" s="65">
        <v>100</v>
      </c>
      <c r="H12" s="65">
        <v>1</v>
      </c>
      <c r="I12" s="68">
        <v>0</v>
      </c>
      <c r="J12" s="69">
        <v>0</v>
      </c>
      <c r="K12" s="69"/>
      <c r="L12" s="42" t="s">
        <v>48</v>
      </c>
    </row>
    <row r="13" spans="1:12" s="2" customFormat="1">
      <c r="A13" s="74" t="s">
        <v>108</v>
      </c>
      <c r="B13" s="35">
        <f t="shared" si="0"/>
        <v>9</v>
      </c>
      <c r="C13" s="36" t="s">
        <v>49</v>
      </c>
      <c r="D13" s="71">
        <v>46032</v>
      </c>
      <c r="E13" s="67" t="s">
        <v>47</v>
      </c>
      <c r="F13" s="66">
        <v>0</v>
      </c>
      <c r="G13" s="65">
        <v>100</v>
      </c>
      <c r="H13" s="65">
        <v>1</v>
      </c>
      <c r="I13" s="68">
        <v>0</v>
      </c>
      <c r="J13" s="69">
        <v>0</v>
      </c>
      <c r="K13" s="69"/>
      <c r="L13" s="42" t="s">
        <v>48</v>
      </c>
    </row>
    <row r="14" spans="1:12">
      <c r="A14" s="74" t="s">
        <v>109</v>
      </c>
      <c r="B14" s="35">
        <f t="shared" si="0"/>
        <v>10</v>
      </c>
      <c r="C14" s="36" t="s">
        <v>50</v>
      </c>
      <c r="D14" s="37">
        <v>46032</v>
      </c>
      <c r="E14" s="43" t="s">
        <v>125</v>
      </c>
      <c r="F14" s="39">
        <v>0</v>
      </c>
      <c r="G14" s="38">
        <v>100</v>
      </c>
      <c r="H14" s="38">
        <v>1</v>
      </c>
      <c r="I14" s="40">
        <v>600</v>
      </c>
      <c r="J14" s="41">
        <v>600</v>
      </c>
      <c r="K14" s="41"/>
      <c r="L14" s="42" t="s">
        <v>5</v>
      </c>
    </row>
    <row r="15" spans="1:12" s="2" customFormat="1">
      <c r="A15" s="74" t="s">
        <v>108</v>
      </c>
      <c r="B15" s="35">
        <f t="shared" si="0"/>
        <v>11</v>
      </c>
      <c r="C15" s="36" t="s">
        <v>71</v>
      </c>
      <c r="D15" s="71">
        <v>46053</v>
      </c>
      <c r="E15" s="72" t="s">
        <v>51</v>
      </c>
      <c r="F15" s="66">
        <v>0</v>
      </c>
      <c r="G15" s="65">
        <v>20</v>
      </c>
      <c r="H15" s="65">
        <v>1</v>
      </c>
      <c r="I15" s="68">
        <v>0</v>
      </c>
      <c r="J15" s="69">
        <v>0</v>
      </c>
      <c r="K15" s="69" t="s">
        <v>53</v>
      </c>
      <c r="L15" s="42" t="s">
        <v>48</v>
      </c>
    </row>
    <row r="16" spans="1:12" s="2" customFormat="1">
      <c r="A16" s="74" t="s">
        <v>109</v>
      </c>
      <c r="B16" s="35">
        <f>B15+1</f>
        <v>12</v>
      </c>
      <c r="C16" s="36" t="s">
        <v>62</v>
      </c>
      <c r="D16" s="71">
        <v>46065</v>
      </c>
      <c r="E16" s="72" t="s">
        <v>10</v>
      </c>
      <c r="F16" s="66">
        <v>0</v>
      </c>
      <c r="G16" s="65">
        <v>20</v>
      </c>
      <c r="H16" s="65">
        <v>1</v>
      </c>
      <c r="I16" s="68">
        <v>180</v>
      </c>
      <c r="J16" s="69">
        <v>180</v>
      </c>
      <c r="K16" s="67" t="s">
        <v>53</v>
      </c>
      <c r="L16" s="44"/>
    </row>
    <row r="17" spans="1:12" s="2" customFormat="1">
      <c r="A17" s="74" t="s">
        <v>84</v>
      </c>
      <c r="B17" s="35">
        <f t="shared" ref="B17:B80" si="1">B16+1</f>
        <v>13</v>
      </c>
      <c r="C17" s="36" t="s">
        <v>111</v>
      </c>
      <c r="D17" s="71">
        <v>46069</v>
      </c>
      <c r="E17" s="72" t="s">
        <v>12</v>
      </c>
      <c r="F17" s="66">
        <v>0</v>
      </c>
      <c r="G17" s="65">
        <v>20</v>
      </c>
      <c r="H17" s="65">
        <v>1</v>
      </c>
      <c r="I17" s="68">
        <v>250</v>
      </c>
      <c r="J17" s="68">
        <v>250</v>
      </c>
      <c r="K17" s="67" t="s">
        <v>53</v>
      </c>
      <c r="L17" s="44"/>
    </row>
    <row r="18" spans="1:12" s="2" customFormat="1">
      <c r="A18" s="74" t="s">
        <v>84</v>
      </c>
      <c r="B18" s="35">
        <f t="shared" si="1"/>
        <v>14</v>
      </c>
      <c r="C18" s="36" t="s">
        <v>111</v>
      </c>
      <c r="D18" s="71">
        <v>46069</v>
      </c>
      <c r="E18" s="72" t="s">
        <v>10</v>
      </c>
      <c r="F18" s="66">
        <v>0</v>
      </c>
      <c r="G18" s="65">
        <v>20</v>
      </c>
      <c r="H18" s="65">
        <v>1</v>
      </c>
      <c r="I18" s="68">
        <v>250</v>
      </c>
      <c r="J18" s="68">
        <v>250</v>
      </c>
      <c r="K18" s="67" t="s">
        <v>53</v>
      </c>
      <c r="L18" s="44"/>
    </row>
    <row r="19" spans="1:12" s="2" customFormat="1">
      <c r="A19" s="74" t="s">
        <v>110</v>
      </c>
      <c r="B19" s="35">
        <f t="shared" si="1"/>
        <v>15</v>
      </c>
      <c r="C19" s="36" t="s">
        <v>69</v>
      </c>
      <c r="D19" s="71">
        <v>46069</v>
      </c>
      <c r="E19" s="72" t="s">
        <v>68</v>
      </c>
      <c r="F19" s="66">
        <v>0</v>
      </c>
      <c r="G19" s="65">
        <v>20</v>
      </c>
      <c r="H19" s="65">
        <v>1</v>
      </c>
      <c r="I19" s="68">
        <v>250</v>
      </c>
      <c r="J19" s="68">
        <v>250</v>
      </c>
      <c r="K19" s="69" t="s">
        <v>53</v>
      </c>
      <c r="L19" s="44"/>
    </row>
    <row r="20" spans="1:12" s="2" customFormat="1">
      <c r="A20" s="74" t="s">
        <v>110</v>
      </c>
      <c r="B20" s="35">
        <f t="shared" si="1"/>
        <v>16</v>
      </c>
      <c r="C20" s="36" t="s">
        <v>113</v>
      </c>
      <c r="D20" s="71">
        <v>46069</v>
      </c>
      <c r="E20" s="72" t="s">
        <v>47</v>
      </c>
      <c r="F20" s="66">
        <v>0</v>
      </c>
      <c r="G20" s="65">
        <v>20</v>
      </c>
      <c r="H20" s="65">
        <v>1</v>
      </c>
      <c r="I20" s="68">
        <v>250</v>
      </c>
      <c r="J20" s="68">
        <v>250</v>
      </c>
      <c r="K20" s="69" t="s">
        <v>53</v>
      </c>
      <c r="L20" s="44"/>
    </row>
    <row r="21" spans="1:12" s="2" customFormat="1">
      <c r="A21" s="74" t="s">
        <v>108</v>
      </c>
      <c r="B21" s="35">
        <f t="shared" si="1"/>
        <v>17</v>
      </c>
      <c r="C21" s="36" t="s">
        <v>112</v>
      </c>
      <c r="D21" s="71">
        <v>46069</v>
      </c>
      <c r="E21" s="72" t="s">
        <v>70</v>
      </c>
      <c r="F21" s="66">
        <v>0</v>
      </c>
      <c r="G21" s="65">
        <v>20</v>
      </c>
      <c r="H21" s="65">
        <v>1</v>
      </c>
      <c r="I21" s="68">
        <v>300</v>
      </c>
      <c r="J21" s="68">
        <v>300</v>
      </c>
      <c r="K21" s="67" t="s">
        <v>53</v>
      </c>
      <c r="L21" s="44"/>
    </row>
    <row r="22" spans="1:12" s="2" customFormat="1">
      <c r="A22" s="74" t="s">
        <v>108</v>
      </c>
      <c r="B22" s="35">
        <f t="shared" si="1"/>
        <v>18</v>
      </c>
      <c r="C22" s="36" t="s">
        <v>71</v>
      </c>
      <c r="D22" s="71">
        <v>46069</v>
      </c>
      <c r="E22" s="72" t="s">
        <v>70</v>
      </c>
      <c r="F22" s="66">
        <v>0</v>
      </c>
      <c r="G22" s="65">
        <v>100</v>
      </c>
      <c r="H22" s="65">
        <v>1</v>
      </c>
      <c r="I22" s="68">
        <v>450</v>
      </c>
      <c r="J22" s="69">
        <v>450</v>
      </c>
      <c r="K22" s="67" t="s">
        <v>53</v>
      </c>
      <c r="L22" s="44"/>
    </row>
    <row r="23" spans="1:12" s="2" customFormat="1">
      <c r="A23" s="74" t="s">
        <v>108</v>
      </c>
      <c r="B23" s="35">
        <f t="shared" si="1"/>
        <v>19</v>
      </c>
      <c r="C23" s="36" t="s">
        <v>71</v>
      </c>
      <c r="D23" s="71">
        <v>46069</v>
      </c>
      <c r="E23" s="72" t="s">
        <v>67</v>
      </c>
      <c r="F23" s="66">
        <v>0</v>
      </c>
      <c r="G23" s="65">
        <v>100</v>
      </c>
      <c r="H23" s="65">
        <v>1</v>
      </c>
      <c r="I23" s="68">
        <v>450</v>
      </c>
      <c r="J23" s="69">
        <v>450</v>
      </c>
      <c r="K23" s="67" t="s">
        <v>53</v>
      </c>
      <c r="L23" s="44"/>
    </row>
    <row r="24" spans="1:12" s="2" customFormat="1">
      <c r="A24" s="74" t="s">
        <v>109</v>
      </c>
      <c r="B24" s="35">
        <f t="shared" si="1"/>
        <v>20</v>
      </c>
      <c r="C24" s="36" t="s">
        <v>62</v>
      </c>
      <c r="D24" s="71">
        <v>46070</v>
      </c>
      <c r="E24" s="72" t="s">
        <v>47</v>
      </c>
      <c r="F24" s="66">
        <v>0</v>
      </c>
      <c r="G24" s="65">
        <v>20</v>
      </c>
      <c r="H24" s="65">
        <v>1</v>
      </c>
      <c r="I24" s="68">
        <v>180</v>
      </c>
      <c r="J24" s="68">
        <f>InvoicesMain[[#This Row],[PRICE]]</f>
        <v>180</v>
      </c>
      <c r="K24" s="67" t="s">
        <v>53</v>
      </c>
      <c r="L24" s="44"/>
    </row>
    <row r="25" spans="1:12" s="2" customFormat="1">
      <c r="A25" s="74" t="s">
        <v>84</v>
      </c>
      <c r="B25" s="35">
        <f t="shared" si="1"/>
        <v>21</v>
      </c>
      <c r="C25" s="36" t="s">
        <v>77</v>
      </c>
      <c r="D25" s="71">
        <v>46072</v>
      </c>
      <c r="E25" s="72" t="s">
        <v>78</v>
      </c>
      <c r="F25" s="66">
        <v>0</v>
      </c>
      <c r="G25" s="65">
        <v>20</v>
      </c>
      <c r="H25" s="65">
        <v>1</v>
      </c>
      <c r="I25" s="68">
        <v>250</v>
      </c>
      <c r="J25" s="69">
        <f>InvoicesMain[[#This Row],[PRICE]]</f>
        <v>250</v>
      </c>
      <c r="K25" s="69" t="s">
        <v>53</v>
      </c>
      <c r="L25" s="44"/>
    </row>
    <row r="26" spans="1:12" s="2" customFormat="1">
      <c r="A26" s="74" t="s">
        <v>84</v>
      </c>
      <c r="B26" s="35">
        <f t="shared" si="1"/>
        <v>22</v>
      </c>
      <c r="C26" s="36" t="s">
        <v>77</v>
      </c>
      <c r="D26" s="71">
        <v>46072</v>
      </c>
      <c r="E26" s="72" t="s">
        <v>70</v>
      </c>
      <c r="F26" s="66">
        <v>0</v>
      </c>
      <c r="G26" s="65">
        <v>20</v>
      </c>
      <c r="H26" s="65">
        <v>1</v>
      </c>
      <c r="I26" s="68">
        <v>200</v>
      </c>
      <c r="J26" s="69">
        <f>InvoicesMain[[#This Row],[PRICE]]</f>
        <v>200</v>
      </c>
      <c r="K26" s="69" t="s">
        <v>53</v>
      </c>
      <c r="L26" s="44"/>
    </row>
    <row r="27" spans="1:12" s="2" customFormat="1">
      <c r="A27" s="74" t="s">
        <v>84</v>
      </c>
      <c r="B27" s="35">
        <f t="shared" si="1"/>
        <v>23</v>
      </c>
      <c r="C27" s="36" t="s">
        <v>79</v>
      </c>
      <c r="D27" s="71">
        <v>46072</v>
      </c>
      <c r="E27" s="72" t="s">
        <v>10</v>
      </c>
      <c r="F27" s="66">
        <v>0</v>
      </c>
      <c r="G27" s="65">
        <v>30</v>
      </c>
      <c r="H27" s="65">
        <v>1</v>
      </c>
      <c r="I27" s="68">
        <v>400</v>
      </c>
      <c r="J27" s="69">
        <f>InvoicesMain[[#This Row],[PRICE]]</f>
        <v>400</v>
      </c>
      <c r="K27" s="69" t="s">
        <v>53</v>
      </c>
      <c r="L27" s="44"/>
    </row>
    <row r="28" spans="1:12" s="2" customFormat="1">
      <c r="A28" s="74" t="s">
        <v>84</v>
      </c>
      <c r="B28" s="35">
        <f t="shared" si="1"/>
        <v>24</v>
      </c>
      <c r="C28" s="36" t="s">
        <v>79</v>
      </c>
      <c r="D28" s="71">
        <v>46072</v>
      </c>
      <c r="E28" s="72" t="s">
        <v>51</v>
      </c>
      <c r="F28" s="66">
        <v>0</v>
      </c>
      <c r="G28" s="65">
        <v>30</v>
      </c>
      <c r="H28" s="65">
        <v>1</v>
      </c>
      <c r="I28" s="68">
        <v>350</v>
      </c>
      <c r="J28" s="69">
        <f>InvoicesMain[[#This Row],[PRICE]]</f>
        <v>350</v>
      </c>
      <c r="K28" s="69" t="s">
        <v>53</v>
      </c>
      <c r="L28" s="44"/>
    </row>
    <row r="29" spans="1:12" s="2" customFormat="1">
      <c r="A29" s="74" t="s">
        <v>84</v>
      </c>
      <c r="B29" s="35">
        <f t="shared" si="1"/>
        <v>25</v>
      </c>
      <c r="C29" s="36" t="s">
        <v>80</v>
      </c>
      <c r="D29" s="71">
        <v>46072</v>
      </c>
      <c r="E29" s="72" t="s">
        <v>51</v>
      </c>
      <c r="F29" s="66">
        <v>0</v>
      </c>
      <c r="G29" s="65">
        <v>30</v>
      </c>
      <c r="H29" s="65">
        <v>1</v>
      </c>
      <c r="I29" s="68">
        <v>350</v>
      </c>
      <c r="J29" s="69">
        <f>InvoicesMain[[#This Row],[PRICE]]</f>
        <v>350</v>
      </c>
      <c r="K29" s="69" t="s">
        <v>53</v>
      </c>
      <c r="L29" s="44"/>
    </row>
    <row r="30" spans="1:12" s="2" customFormat="1">
      <c r="A30" s="74" t="s">
        <v>108</v>
      </c>
      <c r="B30" s="35">
        <f t="shared" si="1"/>
        <v>26</v>
      </c>
      <c r="C30" s="36" t="s">
        <v>49</v>
      </c>
      <c r="D30" s="71">
        <v>46072</v>
      </c>
      <c r="E30" s="72" t="s">
        <v>51</v>
      </c>
      <c r="F30" s="66">
        <v>0</v>
      </c>
      <c r="G30" s="65">
        <v>20</v>
      </c>
      <c r="H30" s="65">
        <v>1</v>
      </c>
      <c r="I30" s="68">
        <v>200</v>
      </c>
      <c r="J30" s="69">
        <f>InvoicesMain[[#This Row],[PRICE]]</f>
        <v>200</v>
      </c>
      <c r="K30" s="67" t="s">
        <v>53</v>
      </c>
      <c r="L30" s="44"/>
    </row>
    <row r="31" spans="1:12" s="2" customFormat="1">
      <c r="A31" s="74" t="s">
        <v>84</v>
      </c>
      <c r="B31" s="35">
        <f t="shared" si="1"/>
        <v>27</v>
      </c>
      <c r="C31" s="36" t="s">
        <v>84</v>
      </c>
      <c r="D31" s="71">
        <v>46073</v>
      </c>
      <c r="E31" s="72" t="s">
        <v>47</v>
      </c>
      <c r="F31" s="66">
        <v>0</v>
      </c>
      <c r="G31" s="65">
        <v>30</v>
      </c>
      <c r="H31" s="65">
        <v>1</v>
      </c>
      <c r="I31" s="68">
        <v>150</v>
      </c>
      <c r="J31" s="69">
        <f>InvoicesMain[[#This Row],[PRICE]]</f>
        <v>150</v>
      </c>
      <c r="K31" s="67" t="s">
        <v>53</v>
      </c>
      <c r="L31" s="44" t="s">
        <v>48</v>
      </c>
    </row>
    <row r="32" spans="1:12" s="2" customFormat="1">
      <c r="A32" s="74" t="s">
        <v>84</v>
      </c>
      <c r="B32" s="35">
        <f t="shared" si="1"/>
        <v>28</v>
      </c>
      <c r="C32" s="36" t="s">
        <v>84</v>
      </c>
      <c r="D32" s="71">
        <v>46073</v>
      </c>
      <c r="E32" s="72" t="s">
        <v>11</v>
      </c>
      <c r="F32" s="66">
        <v>0</v>
      </c>
      <c r="G32" s="65">
        <v>30</v>
      </c>
      <c r="H32" s="65">
        <v>1</v>
      </c>
      <c r="I32" s="68">
        <v>150</v>
      </c>
      <c r="J32" s="69">
        <f>InvoicesMain[[#This Row],[PRICE]]</f>
        <v>150</v>
      </c>
      <c r="K32" s="67" t="s">
        <v>53</v>
      </c>
      <c r="L32" s="44" t="s">
        <v>48</v>
      </c>
    </row>
    <row r="33" spans="1:12" s="2" customFormat="1">
      <c r="A33" s="74" t="s">
        <v>84</v>
      </c>
      <c r="B33" s="35">
        <f t="shared" si="1"/>
        <v>29</v>
      </c>
      <c r="C33" s="36" t="s">
        <v>85</v>
      </c>
      <c r="D33" s="71">
        <v>46073</v>
      </c>
      <c r="E33" s="72" t="s">
        <v>67</v>
      </c>
      <c r="F33" s="66">
        <v>0</v>
      </c>
      <c r="G33" s="65">
        <v>20</v>
      </c>
      <c r="H33" s="65">
        <v>1</v>
      </c>
      <c r="I33" s="68">
        <v>250</v>
      </c>
      <c r="J33" s="69">
        <f>InvoicesMain[[#This Row],[PRICE]]</f>
        <v>250</v>
      </c>
      <c r="K33" s="67" t="s">
        <v>53</v>
      </c>
      <c r="L33" s="44"/>
    </row>
    <row r="34" spans="1:12" s="2" customFormat="1">
      <c r="A34" s="74" t="s">
        <v>84</v>
      </c>
      <c r="B34" s="35">
        <f t="shared" si="1"/>
        <v>30</v>
      </c>
      <c r="C34" s="36" t="s">
        <v>86</v>
      </c>
      <c r="D34" s="71">
        <v>46074</v>
      </c>
      <c r="E34" s="72" t="s">
        <v>10</v>
      </c>
      <c r="F34" s="66">
        <v>0</v>
      </c>
      <c r="G34" s="65">
        <v>20</v>
      </c>
      <c r="H34" s="65">
        <v>1</v>
      </c>
      <c r="I34" s="68">
        <v>250</v>
      </c>
      <c r="J34" s="69">
        <f>InvoicesMain[[#This Row],[PRICE]]</f>
        <v>250</v>
      </c>
      <c r="K34" s="67" t="s">
        <v>53</v>
      </c>
      <c r="L34" s="44"/>
    </row>
    <row r="35" spans="1:12" s="2" customFormat="1">
      <c r="A35" s="74" t="s">
        <v>84</v>
      </c>
      <c r="B35" s="35">
        <f t="shared" si="1"/>
        <v>31</v>
      </c>
      <c r="C35" s="36" t="s">
        <v>86</v>
      </c>
      <c r="D35" s="71">
        <v>46074</v>
      </c>
      <c r="E35" s="72" t="s">
        <v>12</v>
      </c>
      <c r="F35" s="66">
        <v>0</v>
      </c>
      <c r="G35" s="65">
        <v>20</v>
      </c>
      <c r="H35" s="65">
        <v>1</v>
      </c>
      <c r="I35" s="68">
        <v>250</v>
      </c>
      <c r="J35" s="69">
        <f>InvoicesMain[[#This Row],[PRICE]]</f>
        <v>250</v>
      </c>
      <c r="K35" s="67" t="s">
        <v>53</v>
      </c>
      <c r="L35" s="44"/>
    </row>
    <row r="36" spans="1:12" s="2" customFormat="1">
      <c r="A36" s="74" t="s">
        <v>84</v>
      </c>
      <c r="B36" s="35">
        <f t="shared" si="1"/>
        <v>32</v>
      </c>
      <c r="C36" s="36" t="s">
        <v>86</v>
      </c>
      <c r="D36" s="71">
        <v>46074</v>
      </c>
      <c r="E36" s="72" t="s">
        <v>87</v>
      </c>
      <c r="F36" s="66">
        <v>0</v>
      </c>
      <c r="G36" s="65">
        <v>20</v>
      </c>
      <c r="H36" s="65">
        <v>1</v>
      </c>
      <c r="I36" s="68">
        <v>250</v>
      </c>
      <c r="J36" s="69">
        <f>InvoicesMain[[#This Row],[PRICE]]</f>
        <v>250</v>
      </c>
      <c r="K36" s="67" t="s">
        <v>53</v>
      </c>
      <c r="L36" s="44"/>
    </row>
    <row r="37" spans="1:12" s="2" customFormat="1">
      <c r="A37" s="74" t="s">
        <v>84</v>
      </c>
      <c r="B37" s="35">
        <f t="shared" si="1"/>
        <v>33</v>
      </c>
      <c r="C37" s="36" t="s">
        <v>20</v>
      </c>
      <c r="D37" s="71">
        <v>46074</v>
      </c>
      <c r="E37" s="72" t="s">
        <v>88</v>
      </c>
      <c r="F37" s="66">
        <v>0</v>
      </c>
      <c r="G37" s="65">
        <v>50</v>
      </c>
      <c r="H37" s="65">
        <v>1</v>
      </c>
      <c r="I37" s="68">
        <v>650</v>
      </c>
      <c r="J37" s="69">
        <f>InvoicesMain[[#This Row],[PRICE]]</f>
        <v>650</v>
      </c>
      <c r="K37" s="67" t="s">
        <v>53</v>
      </c>
      <c r="L37" s="44"/>
    </row>
    <row r="38" spans="1:12" s="2" customFormat="1">
      <c r="A38" s="74" t="s">
        <v>84</v>
      </c>
      <c r="B38" s="35">
        <f t="shared" si="1"/>
        <v>34</v>
      </c>
      <c r="C38" s="36" t="s">
        <v>20</v>
      </c>
      <c r="D38" s="71">
        <v>46079</v>
      </c>
      <c r="E38" s="72" t="s">
        <v>88</v>
      </c>
      <c r="F38" s="66">
        <v>0</v>
      </c>
      <c r="G38" s="65">
        <v>100</v>
      </c>
      <c r="H38" s="65">
        <v>1</v>
      </c>
      <c r="I38" s="68">
        <v>900</v>
      </c>
      <c r="J38" s="69">
        <f>InvoicesMain[[#This Row],[PRICE]]</f>
        <v>900</v>
      </c>
      <c r="K38" s="67" t="s">
        <v>53</v>
      </c>
      <c r="L38" s="44"/>
    </row>
    <row r="39" spans="1:12" s="2" customFormat="1">
      <c r="A39" s="74" t="s">
        <v>84</v>
      </c>
      <c r="B39" s="35">
        <f t="shared" si="1"/>
        <v>35</v>
      </c>
      <c r="C39" s="36" t="s">
        <v>89</v>
      </c>
      <c r="D39" s="71">
        <v>46079</v>
      </c>
      <c r="E39" s="72" t="s">
        <v>51</v>
      </c>
      <c r="F39" s="66">
        <v>0</v>
      </c>
      <c r="G39" s="65">
        <v>20</v>
      </c>
      <c r="H39" s="65">
        <v>1</v>
      </c>
      <c r="I39" s="68">
        <v>200</v>
      </c>
      <c r="J39" s="69">
        <f>InvoicesMain[[#This Row],[PRICE]]</f>
        <v>200</v>
      </c>
      <c r="K39" s="67" t="s">
        <v>53</v>
      </c>
      <c r="L39" s="44"/>
    </row>
    <row r="40" spans="1:12" s="2" customFormat="1">
      <c r="A40" s="74" t="s">
        <v>84</v>
      </c>
      <c r="B40" s="35">
        <f t="shared" si="1"/>
        <v>36</v>
      </c>
      <c r="C40" s="36" t="s">
        <v>89</v>
      </c>
      <c r="D40" s="71">
        <v>46079</v>
      </c>
      <c r="E40" s="72" t="s">
        <v>93</v>
      </c>
      <c r="F40" s="66">
        <v>0</v>
      </c>
      <c r="G40" s="65">
        <v>20</v>
      </c>
      <c r="H40" s="65">
        <v>1</v>
      </c>
      <c r="I40" s="68">
        <v>250</v>
      </c>
      <c r="J40" s="69">
        <f>InvoicesMain[[#This Row],[PRICE]]</f>
        <v>250</v>
      </c>
      <c r="K40" s="67" t="s">
        <v>53</v>
      </c>
      <c r="L40" s="44"/>
    </row>
    <row r="41" spans="1:12" s="2" customFormat="1">
      <c r="A41" s="74" t="s">
        <v>84</v>
      </c>
      <c r="B41" s="35">
        <f t="shared" si="1"/>
        <v>37</v>
      </c>
      <c r="C41" s="36" t="s">
        <v>90</v>
      </c>
      <c r="D41" s="71">
        <v>46079</v>
      </c>
      <c r="E41" s="72" t="s">
        <v>94</v>
      </c>
      <c r="F41" s="66">
        <v>0</v>
      </c>
      <c r="G41" s="65">
        <v>20</v>
      </c>
      <c r="H41" s="65">
        <v>1</v>
      </c>
      <c r="I41" s="68">
        <v>250</v>
      </c>
      <c r="J41" s="69">
        <f>InvoicesMain[[#This Row],[PRICE]]</f>
        <v>250</v>
      </c>
      <c r="K41" s="67" t="s">
        <v>53</v>
      </c>
      <c r="L41" s="44"/>
    </row>
    <row r="42" spans="1:12" s="2" customFormat="1">
      <c r="A42" s="74" t="s">
        <v>84</v>
      </c>
      <c r="B42" s="35">
        <f t="shared" si="1"/>
        <v>38</v>
      </c>
      <c r="C42" s="36" t="s">
        <v>90</v>
      </c>
      <c r="D42" s="71">
        <v>46079</v>
      </c>
      <c r="E42" s="72" t="s">
        <v>93</v>
      </c>
      <c r="F42" s="66">
        <v>0</v>
      </c>
      <c r="G42" s="65">
        <v>20</v>
      </c>
      <c r="H42" s="65">
        <v>1</v>
      </c>
      <c r="I42" s="68">
        <v>250</v>
      </c>
      <c r="J42" s="69">
        <f>InvoicesMain[[#This Row],[PRICE]]</f>
        <v>250</v>
      </c>
      <c r="K42" s="67" t="s">
        <v>53</v>
      </c>
      <c r="L42" s="44"/>
    </row>
    <row r="43" spans="1:12" s="2" customFormat="1">
      <c r="A43" s="74" t="s">
        <v>84</v>
      </c>
      <c r="B43" s="35">
        <f t="shared" si="1"/>
        <v>39</v>
      </c>
      <c r="C43" s="36" t="s">
        <v>91</v>
      </c>
      <c r="D43" s="71">
        <v>46079</v>
      </c>
      <c r="E43" s="72" t="s">
        <v>94</v>
      </c>
      <c r="F43" s="66">
        <v>0</v>
      </c>
      <c r="G43" s="65">
        <v>20</v>
      </c>
      <c r="H43" s="65">
        <v>1</v>
      </c>
      <c r="I43" s="68">
        <v>250</v>
      </c>
      <c r="J43" s="69">
        <f>InvoicesMain[[#This Row],[PRICE]]</f>
        <v>250</v>
      </c>
      <c r="K43" s="67" t="s">
        <v>53</v>
      </c>
      <c r="L43" s="44"/>
    </row>
    <row r="44" spans="1:12" s="2" customFormat="1">
      <c r="A44" s="74" t="s">
        <v>84</v>
      </c>
      <c r="B44" s="35">
        <f t="shared" si="1"/>
        <v>40</v>
      </c>
      <c r="C44" s="36" t="s">
        <v>91</v>
      </c>
      <c r="D44" s="71">
        <v>46079</v>
      </c>
      <c r="E44" s="72" t="s">
        <v>10</v>
      </c>
      <c r="F44" s="66">
        <v>0</v>
      </c>
      <c r="G44" s="65">
        <v>20</v>
      </c>
      <c r="H44" s="65">
        <v>1</v>
      </c>
      <c r="I44" s="68">
        <v>250</v>
      </c>
      <c r="J44" s="69">
        <f>InvoicesMain[[#This Row],[PRICE]]</f>
        <v>250</v>
      </c>
      <c r="K44" s="67" t="s">
        <v>53</v>
      </c>
      <c r="L44" s="44"/>
    </row>
    <row r="45" spans="1:12" s="2" customFormat="1">
      <c r="A45" s="74" t="s">
        <v>110</v>
      </c>
      <c r="B45" s="35">
        <f t="shared" si="1"/>
        <v>41</v>
      </c>
      <c r="C45" s="36" t="s">
        <v>105</v>
      </c>
      <c r="D45" s="71">
        <v>46079</v>
      </c>
      <c r="E45" s="72" t="s">
        <v>68</v>
      </c>
      <c r="F45" s="66">
        <v>0</v>
      </c>
      <c r="G45" s="65">
        <v>20</v>
      </c>
      <c r="H45" s="65">
        <v>1</v>
      </c>
      <c r="I45" s="68">
        <v>250</v>
      </c>
      <c r="J45" s="68">
        <f>InvoicesMain[[#This Row],[PRICE]]</f>
        <v>250</v>
      </c>
      <c r="K45" s="67" t="s">
        <v>53</v>
      </c>
      <c r="L45" s="44"/>
    </row>
    <row r="46" spans="1:12" s="2" customFormat="1">
      <c r="A46" s="74" t="s">
        <v>110</v>
      </c>
      <c r="B46" s="35">
        <f t="shared" si="1"/>
        <v>42</v>
      </c>
      <c r="C46" s="36" t="s">
        <v>105</v>
      </c>
      <c r="D46" s="71">
        <v>46079</v>
      </c>
      <c r="E46" s="72" t="s">
        <v>10</v>
      </c>
      <c r="F46" s="66">
        <v>0</v>
      </c>
      <c r="G46" s="65">
        <v>20</v>
      </c>
      <c r="H46" s="65">
        <v>1</v>
      </c>
      <c r="I46" s="68">
        <v>350</v>
      </c>
      <c r="J46" s="68">
        <f>InvoicesMain[[#This Row],[PRICE]]</f>
        <v>350</v>
      </c>
      <c r="K46" s="67" t="s">
        <v>53</v>
      </c>
      <c r="L46" s="44"/>
    </row>
    <row r="47" spans="1:12" s="2" customFormat="1">
      <c r="A47" s="74" t="s">
        <v>110</v>
      </c>
      <c r="B47" s="35">
        <f t="shared" si="1"/>
        <v>43</v>
      </c>
      <c r="C47" s="36" t="s">
        <v>114</v>
      </c>
      <c r="D47" s="71">
        <v>46079</v>
      </c>
      <c r="E47" s="72" t="s">
        <v>10</v>
      </c>
      <c r="F47" s="66">
        <v>0</v>
      </c>
      <c r="G47" s="65">
        <v>20</v>
      </c>
      <c r="H47" s="65">
        <v>1</v>
      </c>
      <c r="I47" s="68">
        <v>250</v>
      </c>
      <c r="J47" s="69">
        <f>InvoicesMain[[#This Row],[PRICE]]</f>
        <v>250</v>
      </c>
      <c r="K47" s="67" t="s">
        <v>53</v>
      </c>
      <c r="L47" s="44"/>
    </row>
    <row r="48" spans="1:12" s="2" customFormat="1">
      <c r="A48" s="74" t="s">
        <v>110</v>
      </c>
      <c r="B48" s="35">
        <f t="shared" si="1"/>
        <v>44</v>
      </c>
      <c r="C48" s="36" t="s">
        <v>115</v>
      </c>
      <c r="D48" s="71">
        <v>46079</v>
      </c>
      <c r="E48" s="72" t="s">
        <v>92</v>
      </c>
      <c r="F48" s="66">
        <v>0</v>
      </c>
      <c r="G48" s="65">
        <v>20</v>
      </c>
      <c r="H48" s="65">
        <v>1</v>
      </c>
      <c r="I48" s="68">
        <v>250</v>
      </c>
      <c r="J48" s="68">
        <f>InvoicesMain[[#This Row],[PRICE]]</f>
        <v>250</v>
      </c>
      <c r="K48" s="67" t="s">
        <v>53</v>
      </c>
      <c r="L48" s="44"/>
    </row>
    <row r="49" spans="1:12" s="2" customFormat="1">
      <c r="A49" s="74" t="s">
        <v>110</v>
      </c>
      <c r="B49" s="35">
        <f t="shared" si="1"/>
        <v>45</v>
      </c>
      <c r="C49" s="36" t="s">
        <v>116</v>
      </c>
      <c r="D49" s="71">
        <v>46079</v>
      </c>
      <c r="E49" s="72" t="s">
        <v>10</v>
      </c>
      <c r="F49" s="66">
        <v>0</v>
      </c>
      <c r="G49" s="65">
        <v>20</v>
      </c>
      <c r="H49" s="65">
        <v>1</v>
      </c>
      <c r="I49" s="68">
        <v>250</v>
      </c>
      <c r="J49" s="68">
        <f>InvoicesMain[[#This Row],[PRICE]]</f>
        <v>250</v>
      </c>
      <c r="K49" s="67" t="s">
        <v>53</v>
      </c>
      <c r="L49" s="44"/>
    </row>
    <row r="50" spans="1:12" s="2" customFormat="1">
      <c r="A50" s="74" t="s">
        <v>110</v>
      </c>
      <c r="B50" s="35">
        <f t="shared" si="1"/>
        <v>46</v>
      </c>
      <c r="C50" s="36" t="s">
        <v>117</v>
      </c>
      <c r="D50" s="71">
        <v>46079</v>
      </c>
      <c r="E50" s="72" t="s">
        <v>68</v>
      </c>
      <c r="F50" s="66">
        <v>0</v>
      </c>
      <c r="G50" s="65">
        <v>20</v>
      </c>
      <c r="H50" s="65">
        <v>1</v>
      </c>
      <c r="I50" s="68">
        <v>250</v>
      </c>
      <c r="J50" s="68">
        <f>InvoicesMain[[#This Row],[PRICE]]</f>
        <v>250</v>
      </c>
      <c r="K50" s="67" t="s">
        <v>53</v>
      </c>
      <c r="L50" s="44"/>
    </row>
    <row r="51" spans="1:12" s="2" customFormat="1">
      <c r="A51" s="74" t="s">
        <v>110</v>
      </c>
      <c r="B51" s="35">
        <f t="shared" si="1"/>
        <v>47</v>
      </c>
      <c r="C51" s="36" t="s">
        <v>118</v>
      </c>
      <c r="D51" s="71">
        <v>46079</v>
      </c>
      <c r="E51" s="72" t="s">
        <v>95</v>
      </c>
      <c r="F51" s="66">
        <v>0</v>
      </c>
      <c r="G51" s="65">
        <v>30</v>
      </c>
      <c r="H51" s="65">
        <v>1</v>
      </c>
      <c r="I51" s="68">
        <v>350</v>
      </c>
      <c r="J51" s="68">
        <f>InvoicesMain[[#This Row],[PRICE]]</f>
        <v>350</v>
      </c>
      <c r="K51" s="67" t="s">
        <v>53</v>
      </c>
      <c r="L51" s="44"/>
    </row>
    <row r="52" spans="1:12" s="2" customFormat="1">
      <c r="A52" s="74" t="s">
        <v>110</v>
      </c>
      <c r="B52" s="35">
        <f t="shared" si="1"/>
        <v>48</v>
      </c>
      <c r="C52" s="36" t="s">
        <v>104</v>
      </c>
      <c r="D52" s="71">
        <v>46079</v>
      </c>
      <c r="E52" s="72" t="s">
        <v>92</v>
      </c>
      <c r="F52" s="66">
        <v>0</v>
      </c>
      <c r="G52" s="65">
        <v>20</v>
      </c>
      <c r="H52" s="65">
        <v>1</v>
      </c>
      <c r="I52" s="68">
        <v>200</v>
      </c>
      <c r="J52" s="68">
        <f>InvoicesMain[[#This Row],[PRICE]]</f>
        <v>200</v>
      </c>
      <c r="K52" s="67" t="s">
        <v>53</v>
      </c>
      <c r="L52" s="44"/>
    </row>
    <row r="53" spans="1:12" s="2" customFormat="1">
      <c r="A53" s="74" t="s">
        <v>110</v>
      </c>
      <c r="B53" s="35">
        <f t="shared" si="1"/>
        <v>49</v>
      </c>
      <c r="C53" s="36" t="s">
        <v>104</v>
      </c>
      <c r="D53" s="71">
        <v>46079</v>
      </c>
      <c r="E53" s="72" t="s">
        <v>10</v>
      </c>
      <c r="F53" s="66">
        <v>0</v>
      </c>
      <c r="G53" s="65">
        <v>20</v>
      </c>
      <c r="H53" s="65">
        <v>1</v>
      </c>
      <c r="I53" s="68">
        <v>200</v>
      </c>
      <c r="J53" s="68">
        <f>InvoicesMain[[#This Row],[PRICE]]</f>
        <v>200</v>
      </c>
      <c r="K53" s="67" t="s">
        <v>53</v>
      </c>
      <c r="L53" s="44"/>
    </row>
    <row r="54" spans="1:12" s="2" customFormat="1">
      <c r="A54" s="74" t="s">
        <v>46</v>
      </c>
      <c r="B54" s="35">
        <f t="shared" si="1"/>
        <v>50</v>
      </c>
      <c r="C54" s="36" t="s">
        <v>96</v>
      </c>
      <c r="D54" s="37">
        <v>46079</v>
      </c>
      <c r="E54" s="43" t="s">
        <v>10</v>
      </c>
      <c r="F54" s="39">
        <v>0</v>
      </c>
      <c r="G54" s="38">
        <v>20</v>
      </c>
      <c r="H54" s="38">
        <v>1</v>
      </c>
      <c r="I54" s="40">
        <v>150</v>
      </c>
      <c r="J54" s="40">
        <f>InvoicesMain[[#This Row],[PRICE]]</f>
        <v>150</v>
      </c>
      <c r="K54" s="36"/>
      <c r="L54" s="44"/>
    </row>
    <row r="55" spans="1:12" s="2" customFormat="1">
      <c r="A55" s="74" t="s">
        <v>84</v>
      </c>
      <c r="B55" s="35">
        <f t="shared" si="1"/>
        <v>51</v>
      </c>
      <c r="C55" s="36" t="s">
        <v>84</v>
      </c>
      <c r="D55" s="71">
        <v>46079</v>
      </c>
      <c r="E55" s="72" t="s">
        <v>87</v>
      </c>
      <c r="F55" s="66">
        <v>0</v>
      </c>
      <c r="G55" s="65">
        <v>30</v>
      </c>
      <c r="H55" s="65">
        <v>1</v>
      </c>
      <c r="I55" s="68">
        <v>150</v>
      </c>
      <c r="J55" s="68">
        <f>InvoicesMain[[#This Row],[PRICE]]</f>
        <v>150</v>
      </c>
      <c r="K55" s="67" t="s">
        <v>53</v>
      </c>
      <c r="L55" s="44"/>
    </row>
    <row r="56" spans="1:12" s="2" customFormat="1">
      <c r="A56" s="74" t="s">
        <v>84</v>
      </c>
      <c r="B56" s="35">
        <f t="shared" si="1"/>
        <v>52</v>
      </c>
      <c r="C56" s="36" t="s">
        <v>84</v>
      </c>
      <c r="D56" s="71">
        <v>46079</v>
      </c>
      <c r="E56" s="72" t="s">
        <v>47</v>
      </c>
      <c r="F56" s="66">
        <v>0</v>
      </c>
      <c r="G56" s="65">
        <v>30</v>
      </c>
      <c r="H56" s="65">
        <v>1</v>
      </c>
      <c r="I56" s="68">
        <v>150</v>
      </c>
      <c r="J56" s="68">
        <f>InvoicesMain[[#This Row],[PRICE]]</f>
        <v>150</v>
      </c>
      <c r="K56" s="67" t="s">
        <v>53</v>
      </c>
      <c r="L56" s="44"/>
    </row>
    <row r="57" spans="1:12" s="2" customFormat="1">
      <c r="A57" s="74" t="s">
        <v>84</v>
      </c>
      <c r="B57" s="35">
        <f t="shared" si="1"/>
        <v>53</v>
      </c>
      <c r="C57" s="36" t="s">
        <v>84</v>
      </c>
      <c r="D57" s="71">
        <v>46079</v>
      </c>
      <c r="E57" s="72" t="s">
        <v>47</v>
      </c>
      <c r="F57" s="66">
        <v>0</v>
      </c>
      <c r="G57" s="65">
        <v>30</v>
      </c>
      <c r="H57" s="65">
        <v>1</v>
      </c>
      <c r="I57" s="68">
        <v>150</v>
      </c>
      <c r="J57" s="68">
        <f>InvoicesMain[[#This Row],[PRICE]]</f>
        <v>150</v>
      </c>
      <c r="K57" s="67" t="s">
        <v>53</v>
      </c>
      <c r="L57" s="44"/>
    </row>
    <row r="58" spans="1:12" s="2" customFormat="1">
      <c r="A58" s="74" t="s">
        <v>110</v>
      </c>
      <c r="B58" s="35">
        <f t="shared" si="1"/>
        <v>54</v>
      </c>
      <c r="C58" s="36" t="s">
        <v>103</v>
      </c>
      <c r="D58" s="71">
        <v>46080</v>
      </c>
      <c r="E58" s="72" t="s">
        <v>10</v>
      </c>
      <c r="F58" s="66">
        <v>0</v>
      </c>
      <c r="G58" s="65">
        <v>30</v>
      </c>
      <c r="H58" s="65">
        <v>1</v>
      </c>
      <c r="I58" s="68">
        <v>350</v>
      </c>
      <c r="J58" s="68">
        <f>InvoicesMain[[#This Row],[PRICE]]</f>
        <v>350</v>
      </c>
      <c r="K58" s="67" t="s">
        <v>53</v>
      </c>
      <c r="L58" s="44"/>
    </row>
    <row r="59" spans="1:12" s="2" customFormat="1">
      <c r="A59" s="74" t="s">
        <v>109</v>
      </c>
      <c r="B59" s="35">
        <f t="shared" si="1"/>
        <v>55</v>
      </c>
      <c r="C59" s="36" t="s">
        <v>50</v>
      </c>
      <c r="D59" s="71">
        <v>46079</v>
      </c>
      <c r="E59" s="72" t="s">
        <v>70</v>
      </c>
      <c r="F59" s="66">
        <v>0</v>
      </c>
      <c r="G59" s="65">
        <v>20</v>
      </c>
      <c r="H59" s="65">
        <v>2</v>
      </c>
      <c r="I59" s="68">
        <v>600</v>
      </c>
      <c r="J59" s="68">
        <f>InvoicesMain[[#This Row],[PRICE]]</f>
        <v>600</v>
      </c>
      <c r="K59" s="67" t="s">
        <v>53</v>
      </c>
      <c r="L59" s="44"/>
    </row>
    <row r="60" spans="1:12" s="2" customFormat="1">
      <c r="A60" s="74" t="s">
        <v>109</v>
      </c>
      <c r="B60" s="35">
        <f t="shared" si="1"/>
        <v>56</v>
      </c>
      <c r="C60" s="36" t="s">
        <v>50</v>
      </c>
      <c r="D60" s="71">
        <v>46079</v>
      </c>
      <c r="E60" s="72" t="s">
        <v>10</v>
      </c>
      <c r="F60" s="66">
        <v>0</v>
      </c>
      <c r="G60" s="65">
        <v>20</v>
      </c>
      <c r="H60" s="65">
        <v>2</v>
      </c>
      <c r="I60" s="68">
        <v>600</v>
      </c>
      <c r="J60" s="68">
        <f>InvoicesMain[[#This Row],[PRICE]]</f>
        <v>600</v>
      </c>
      <c r="K60" s="67" t="s">
        <v>53</v>
      </c>
      <c r="L60" s="44"/>
    </row>
    <row r="61" spans="1:12" s="2" customFormat="1">
      <c r="A61" s="74" t="s">
        <v>109</v>
      </c>
      <c r="B61" s="35">
        <f t="shared" si="1"/>
        <v>57</v>
      </c>
      <c r="C61" s="36" t="s">
        <v>62</v>
      </c>
      <c r="D61" s="71">
        <v>46079</v>
      </c>
      <c r="E61" s="72" t="s">
        <v>12</v>
      </c>
      <c r="F61" s="66">
        <v>0</v>
      </c>
      <c r="G61" s="65">
        <v>20</v>
      </c>
      <c r="H61" s="65">
        <v>2</v>
      </c>
      <c r="I61" s="68">
        <v>400</v>
      </c>
      <c r="J61" s="68">
        <f>InvoicesMain[[#This Row],[PRICE]]</f>
        <v>400</v>
      </c>
      <c r="K61" s="67" t="s">
        <v>53</v>
      </c>
      <c r="L61" s="44"/>
    </row>
    <row r="62" spans="1:12" s="2" customFormat="1">
      <c r="A62" s="74" t="s">
        <v>109</v>
      </c>
      <c r="B62" s="35">
        <f t="shared" si="1"/>
        <v>58</v>
      </c>
      <c r="C62" s="36" t="s">
        <v>62</v>
      </c>
      <c r="D62" s="71">
        <v>46079</v>
      </c>
      <c r="E62" s="72" t="s">
        <v>67</v>
      </c>
      <c r="F62" s="66">
        <v>0</v>
      </c>
      <c r="G62" s="65">
        <v>20</v>
      </c>
      <c r="H62" s="65">
        <v>1</v>
      </c>
      <c r="I62" s="68">
        <v>190</v>
      </c>
      <c r="J62" s="68">
        <f>InvoicesMain[[#This Row],[PRICE]]</f>
        <v>190</v>
      </c>
      <c r="K62" s="67" t="s">
        <v>53</v>
      </c>
      <c r="L62" s="44"/>
    </row>
    <row r="63" spans="1:12" s="2" customFormat="1">
      <c r="A63" s="74" t="s">
        <v>110</v>
      </c>
      <c r="B63" s="35">
        <f t="shared" si="1"/>
        <v>59</v>
      </c>
      <c r="C63" s="36" t="s">
        <v>105</v>
      </c>
      <c r="D63" s="71">
        <v>46086</v>
      </c>
      <c r="E63" s="72" t="s">
        <v>87</v>
      </c>
      <c r="F63" s="66">
        <v>0</v>
      </c>
      <c r="G63" s="65">
        <v>20</v>
      </c>
      <c r="H63" s="65">
        <v>1</v>
      </c>
      <c r="I63" s="68">
        <v>250</v>
      </c>
      <c r="J63" s="68">
        <f>InvoicesMain[[#This Row],[PRICE]]</f>
        <v>250</v>
      </c>
      <c r="K63" s="67" t="s">
        <v>53</v>
      </c>
      <c r="L63" s="44"/>
    </row>
    <row r="64" spans="1:12" s="2" customFormat="1">
      <c r="A64" s="74" t="s">
        <v>110</v>
      </c>
      <c r="B64" s="35">
        <f t="shared" si="1"/>
        <v>60</v>
      </c>
      <c r="C64" s="36" t="s">
        <v>105</v>
      </c>
      <c r="D64" s="71">
        <v>46086</v>
      </c>
      <c r="E64" s="72" t="s">
        <v>47</v>
      </c>
      <c r="F64" s="66">
        <v>0</v>
      </c>
      <c r="G64" s="65">
        <v>20</v>
      </c>
      <c r="H64" s="65">
        <v>1</v>
      </c>
      <c r="I64" s="68">
        <v>250</v>
      </c>
      <c r="J64" s="68">
        <f>InvoicesMain[[#This Row],[PRICE]]</f>
        <v>250</v>
      </c>
      <c r="K64" s="67" t="s">
        <v>53</v>
      </c>
      <c r="L64" s="44"/>
    </row>
    <row r="65" spans="1:12" s="2" customFormat="1">
      <c r="A65" s="74" t="s">
        <v>110</v>
      </c>
      <c r="B65" s="35">
        <f t="shared" si="1"/>
        <v>61</v>
      </c>
      <c r="C65" s="36" t="s">
        <v>119</v>
      </c>
      <c r="D65" s="71">
        <v>46091</v>
      </c>
      <c r="E65" s="72" t="s">
        <v>68</v>
      </c>
      <c r="F65" s="66">
        <v>0</v>
      </c>
      <c r="G65" s="65">
        <v>20</v>
      </c>
      <c r="H65" s="65">
        <v>1</v>
      </c>
      <c r="I65" s="68">
        <v>250</v>
      </c>
      <c r="J65" s="68">
        <f>InvoicesMain[[#This Row],[PRICE]]</f>
        <v>250</v>
      </c>
      <c r="K65" s="67" t="s">
        <v>53</v>
      </c>
      <c r="L65" s="44"/>
    </row>
    <row r="66" spans="1:12" s="2" customFormat="1">
      <c r="A66" s="74" t="s">
        <v>120</v>
      </c>
      <c r="B66" s="35">
        <f t="shared" si="1"/>
        <v>62</v>
      </c>
      <c r="C66" s="36" t="s">
        <v>121</v>
      </c>
      <c r="D66" s="71">
        <v>46088</v>
      </c>
      <c r="E66" s="72" t="s">
        <v>70</v>
      </c>
      <c r="F66" s="66">
        <v>0</v>
      </c>
      <c r="G66" s="65">
        <v>30</v>
      </c>
      <c r="H66" s="65">
        <v>1</v>
      </c>
      <c r="I66" s="68">
        <v>400</v>
      </c>
      <c r="J66" s="68">
        <f>InvoicesMain[[#This Row],[PRICE]]</f>
        <v>400</v>
      </c>
      <c r="K66" s="67" t="s">
        <v>53</v>
      </c>
      <c r="L66" s="44"/>
    </row>
    <row r="67" spans="1:12" s="2" customFormat="1">
      <c r="A67" s="74" t="s">
        <v>120</v>
      </c>
      <c r="B67" s="35">
        <f t="shared" si="1"/>
        <v>63</v>
      </c>
      <c r="C67" s="36" t="s">
        <v>121</v>
      </c>
      <c r="D67" s="71">
        <v>46088</v>
      </c>
      <c r="E67" s="72" t="s">
        <v>47</v>
      </c>
      <c r="F67" s="66">
        <v>0</v>
      </c>
      <c r="G67" s="65">
        <v>20</v>
      </c>
      <c r="H67" s="65">
        <v>1</v>
      </c>
      <c r="I67" s="68">
        <v>300</v>
      </c>
      <c r="J67" s="68">
        <f>InvoicesMain[[#This Row],[PRICE]]</f>
        <v>300</v>
      </c>
      <c r="K67" s="67" t="s">
        <v>53</v>
      </c>
      <c r="L67" s="44"/>
    </row>
    <row r="68" spans="1:12" s="2" customFormat="1">
      <c r="A68" s="74" t="s">
        <v>84</v>
      </c>
      <c r="B68" s="35">
        <f t="shared" si="1"/>
        <v>64</v>
      </c>
      <c r="C68" s="36" t="s">
        <v>84</v>
      </c>
      <c r="D68" s="71">
        <v>46094</v>
      </c>
      <c r="E68" s="72" t="s">
        <v>47</v>
      </c>
      <c r="F68" s="66">
        <v>0</v>
      </c>
      <c r="G68" s="65">
        <v>30</v>
      </c>
      <c r="H68" s="65">
        <v>1</v>
      </c>
      <c r="I68" s="68">
        <v>150</v>
      </c>
      <c r="J68" s="68">
        <f>InvoicesMain[[#This Row],[PRICE]]</f>
        <v>150</v>
      </c>
      <c r="K68" s="67" t="s">
        <v>53</v>
      </c>
      <c r="L68" s="44"/>
    </row>
    <row r="69" spans="1:12" s="2" customFormat="1">
      <c r="A69" s="74" t="s">
        <v>84</v>
      </c>
      <c r="B69" s="35">
        <f t="shared" si="1"/>
        <v>65</v>
      </c>
      <c r="C69" s="36" t="s">
        <v>84</v>
      </c>
      <c r="D69" s="71">
        <v>46094</v>
      </c>
      <c r="E69" s="72" t="s">
        <v>47</v>
      </c>
      <c r="F69" s="66">
        <v>0</v>
      </c>
      <c r="G69" s="65">
        <v>30</v>
      </c>
      <c r="H69" s="65">
        <v>1</v>
      </c>
      <c r="I69" s="68">
        <v>150</v>
      </c>
      <c r="J69" s="68">
        <f>InvoicesMain[[#This Row],[PRICE]]</f>
        <v>150</v>
      </c>
      <c r="K69" s="67" t="s">
        <v>53</v>
      </c>
      <c r="L69" s="44"/>
    </row>
    <row r="70" spans="1:12" s="2" customFormat="1">
      <c r="A70" s="74" t="s">
        <v>84</v>
      </c>
      <c r="B70" s="35">
        <f t="shared" si="1"/>
        <v>66</v>
      </c>
      <c r="C70" s="36" t="s">
        <v>84</v>
      </c>
      <c r="D70" s="71">
        <v>46094</v>
      </c>
      <c r="E70" s="72" t="s">
        <v>95</v>
      </c>
      <c r="F70" s="66">
        <v>0</v>
      </c>
      <c r="G70" s="65">
        <v>30</v>
      </c>
      <c r="H70" s="65">
        <v>1</v>
      </c>
      <c r="I70" s="68">
        <v>150</v>
      </c>
      <c r="J70" s="68">
        <f>InvoicesMain[[#This Row],[PRICE]]</f>
        <v>150</v>
      </c>
      <c r="K70" s="67" t="s">
        <v>53</v>
      </c>
      <c r="L70" s="44"/>
    </row>
    <row r="71" spans="1:12" s="2" customFormat="1">
      <c r="A71" s="74" t="s">
        <v>84</v>
      </c>
      <c r="B71" s="35">
        <f t="shared" si="1"/>
        <v>67</v>
      </c>
      <c r="C71" s="36" t="s">
        <v>84</v>
      </c>
      <c r="D71" s="71">
        <v>46094</v>
      </c>
      <c r="E71" s="72" t="s">
        <v>87</v>
      </c>
      <c r="F71" s="66">
        <v>0</v>
      </c>
      <c r="G71" s="65">
        <v>30</v>
      </c>
      <c r="H71" s="65">
        <v>1</v>
      </c>
      <c r="I71" s="68">
        <v>150</v>
      </c>
      <c r="J71" s="68">
        <f>InvoicesMain[[#This Row],[PRICE]]</f>
        <v>150</v>
      </c>
      <c r="K71" s="67" t="s">
        <v>53</v>
      </c>
      <c r="L71" s="44"/>
    </row>
    <row r="72" spans="1:12" s="2" customFormat="1">
      <c r="A72" s="74" t="s">
        <v>126</v>
      </c>
      <c r="B72" s="35">
        <f t="shared" si="1"/>
        <v>68</v>
      </c>
      <c r="C72" s="36" t="s">
        <v>86</v>
      </c>
      <c r="D72" s="71">
        <v>46094</v>
      </c>
      <c r="E72" s="72" t="s">
        <v>88</v>
      </c>
      <c r="F72" s="66">
        <v>0</v>
      </c>
      <c r="G72" s="65">
        <v>50</v>
      </c>
      <c r="H72" s="65">
        <v>1</v>
      </c>
      <c r="I72" s="68">
        <v>700</v>
      </c>
      <c r="J72" s="68">
        <f>InvoicesMain[[#This Row],[PRICE]]</f>
        <v>700</v>
      </c>
      <c r="K72" s="67" t="s">
        <v>53</v>
      </c>
      <c r="L72" s="44"/>
    </row>
    <row r="73" spans="1:12" s="2" customFormat="1">
      <c r="A73" s="74" t="s">
        <v>126</v>
      </c>
      <c r="B73" s="35">
        <f t="shared" si="1"/>
        <v>69</v>
      </c>
      <c r="C73" s="36" t="s">
        <v>86</v>
      </c>
      <c r="D73" s="71">
        <v>46094</v>
      </c>
      <c r="E73" s="72" t="s">
        <v>122</v>
      </c>
      <c r="F73" s="66">
        <v>0</v>
      </c>
      <c r="G73" s="65">
        <v>50</v>
      </c>
      <c r="H73" s="65">
        <v>1</v>
      </c>
      <c r="I73" s="68">
        <v>650</v>
      </c>
      <c r="J73" s="68">
        <f>InvoicesMain[[#This Row],[PRICE]]</f>
        <v>650</v>
      </c>
      <c r="K73" s="67" t="s">
        <v>53</v>
      </c>
      <c r="L73" s="44"/>
    </row>
    <row r="74" spans="1:12" s="2" customFormat="1">
      <c r="A74" s="74" t="s">
        <v>126</v>
      </c>
      <c r="B74" s="35">
        <f t="shared" si="1"/>
        <v>70</v>
      </c>
      <c r="C74" s="36" t="s">
        <v>86</v>
      </c>
      <c r="D74" s="71">
        <v>46094</v>
      </c>
      <c r="E74" s="72" t="s">
        <v>123</v>
      </c>
      <c r="F74" s="66">
        <v>0</v>
      </c>
      <c r="G74" s="65">
        <v>20</v>
      </c>
      <c r="H74" s="65">
        <v>1</v>
      </c>
      <c r="I74" s="68">
        <v>400</v>
      </c>
      <c r="J74" s="68">
        <f>InvoicesMain[[#This Row],[PRICE]]</f>
        <v>400</v>
      </c>
      <c r="K74" s="67" t="s">
        <v>53</v>
      </c>
      <c r="L74" s="44"/>
    </row>
    <row r="75" spans="1:12" s="2" customFormat="1">
      <c r="A75" s="74" t="s">
        <v>126</v>
      </c>
      <c r="B75" s="35">
        <f t="shared" si="1"/>
        <v>71</v>
      </c>
      <c r="C75" s="36" t="s">
        <v>86</v>
      </c>
      <c r="D75" s="71">
        <v>46094</v>
      </c>
      <c r="E75" s="72" t="s">
        <v>124</v>
      </c>
      <c r="F75" s="66">
        <v>0</v>
      </c>
      <c r="G75" s="65">
        <v>20</v>
      </c>
      <c r="H75" s="65">
        <v>1</v>
      </c>
      <c r="I75" s="68">
        <v>300</v>
      </c>
      <c r="J75" s="68">
        <f>InvoicesMain[[#This Row],[PRICE]]</f>
        <v>300</v>
      </c>
      <c r="K75" s="67" t="s">
        <v>53</v>
      </c>
      <c r="L75" s="44"/>
    </row>
    <row r="76" spans="1:12" s="2" customFormat="1">
      <c r="A76" s="74" t="s">
        <v>126</v>
      </c>
      <c r="B76" s="35">
        <f t="shared" si="1"/>
        <v>72</v>
      </c>
      <c r="C76" s="36" t="s">
        <v>86</v>
      </c>
      <c r="D76" s="71">
        <v>46094</v>
      </c>
      <c r="E76" s="72" t="s">
        <v>87</v>
      </c>
      <c r="F76" s="66">
        <v>0</v>
      </c>
      <c r="G76" s="65">
        <v>20</v>
      </c>
      <c r="H76" s="65">
        <v>1</v>
      </c>
      <c r="I76" s="68">
        <v>300</v>
      </c>
      <c r="J76" s="68">
        <f>InvoicesMain[[#This Row],[PRICE]]</f>
        <v>300</v>
      </c>
      <c r="K76" s="67" t="s">
        <v>53</v>
      </c>
      <c r="L76" s="44"/>
    </row>
    <row r="77" spans="1:12" s="2" customFormat="1">
      <c r="A77" s="74" t="s">
        <v>126</v>
      </c>
      <c r="B77" s="35">
        <f t="shared" si="1"/>
        <v>73</v>
      </c>
      <c r="C77" s="36" t="s">
        <v>86</v>
      </c>
      <c r="D77" s="71">
        <v>46094</v>
      </c>
      <c r="E77" s="72" t="s">
        <v>125</v>
      </c>
      <c r="F77" s="66">
        <v>0</v>
      </c>
      <c r="G77" s="65">
        <v>20</v>
      </c>
      <c r="H77" s="65">
        <v>1</v>
      </c>
      <c r="I77" s="68">
        <v>250</v>
      </c>
      <c r="J77" s="68">
        <f>InvoicesMain[[#This Row],[PRICE]]</f>
        <v>250</v>
      </c>
      <c r="K77" s="67" t="s">
        <v>53</v>
      </c>
      <c r="L77" s="44"/>
    </row>
    <row r="78" spans="1:12" s="2" customFormat="1">
      <c r="A78" s="74" t="s">
        <v>109</v>
      </c>
      <c r="B78" s="35">
        <f t="shared" si="1"/>
        <v>74</v>
      </c>
      <c r="C78" s="36" t="s">
        <v>127</v>
      </c>
      <c r="D78" s="71">
        <v>46094</v>
      </c>
      <c r="E78" s="72" t="s">
        <v>12</v>
      </c>
      <c r="F78" s="66">
        <v>0</v>
      </c>
      <c r="G78" s="65">
        <v>100</v>
      </c>
      <c r="H78" s="65">
        <v>1</v>
      </c>
      <c r="I78" s="68">
        <v>750</v>
      </c>
      <c r="J78" s="68">
        <f>InvoicesMain[[#This Row],[PRICE]]</f>
        <v>750</v>
      </c>
      <c r="K78" s="67" t="s">
        <v>53</v>
      </c>
      <c r="L78" s="44"/>
    </row>
    <row r="79" spans="1:12" s="2" customFormat="1">
      <c r="A79" s="74" t="s">
        <v>109</v>
      </c>
      <c r="B79" s="35">
        <f t="shared" si="1"/>
        <v>75</v>
      </c>
      <c r="C79" s="36" t="s">
        <v>127</v>
      </c>
      <c r="D79" s="71">
        <v>46094</v>
      </c>
      <c r="E79" s="72" t="s">
        <v>68</v>
      </c>
      <c r="F79" s="66">
        <v>0</v>
      </c>
      <c r="G79" s="65">
        <v>20</v>
      </c>
      <c r="H79" s="65">
        <v>1</v>
      </c>
      <c r="I79" s="68">
        <v>200</v>
      </c>
      <c r="J79" s="68">
        <f>InvoicesMain[[#This Row],[PRICE]]</f>
        <v>200</v>
      </c>
      <c r="K79" s="67" t="s">
        <v>53</v>
      </c>
      <c r="L79" s="44"/>
    </row>
    <row r="80" spans="1:12" s="2" customFormat="1">
      <c r="A80" s="74" t="s">
        <v>84</v>
      </c>
      <c r="B80" s="35">
        <f t="shared" si="1"/>
        <v>76</v>
      </c>
      <c r="C80" s="36" t="s">
        <v>128</v>
      </c>
      <c r="D80" s="82">
        <v>46094</v>
      </c>
      <c r="E80" s="72" t="s">
        <v>129</v>
      </c>
      <c r="F80" s="66">
        <v>0</v>
      </c>
      <c r="G80" s="65">
        <v>20</v>
      </c>
      <c r="H80" s="65">
        <v>1</v>
      </c>
      <c r="I80" s="68">
        <v>350</v>
      </c>
      <c r="J80" s="68">
        <f>InvoicesMain[[#This Row],[PRICE]]</f>
        <v>350</v>
      </c>
      <c r="K80" s="67" t="s">
        <v>53</v>
      </c>
      <c r="L80" s="44"/>
    </row>
    <row r="81" spans="1:12" s="2" customFormat="1">
      <c r="A81" s="74"/>
      <c r="B81" s="35">
        <f t="shared" ref="B81:B117" si="2">B80+1</f>
        <v>77</v>
      </c>
      <c r="C81" s="36" t="s">
        <v>86</v>
      </c>
      <c r="D81" s="82">
        <v>46094</v>
      </c>
      <c r="E81" s="72" t="s">
        <v>95</v>
      </c>
      <c r="F81" s="66">
        <v>0</v>
      </c>
      <c r="G81" s="65">
        <v>20</v>
      </c>
      <c r="H81" s="65">
        <v>1</v>
      </c>
      <c r="I81" s="68">
        <v>250</v>
      </c>
      <c r="J81" s="68">
        <f>InvoicesMain[[#This Row],[PRICE]]</f>
        <v>250</v>
      </c>
      <c r="K81" s="67" t="s">
        <v>53</v>
      </c>
      <c r="L81" s="44"/>
    </row>
    <row r="82" spans="1:12" s="2" customFormat="1">
      <c r="A82" s="74"/>
      <c r="B82" s="35">
        <f t="shared" si="2"/>
        <v>78</v>
      </c>
      <c r="C82" s="36" t="s">
        <v>130</v>
      </c>
      <c r="D82" s="82">
        <v>46094</v>
      </c>
      <c r="E82" s="72" t="s">
        <v>10</v>
      </c>
      <c r="F82" s="66">
        <v>0</v>
      </c>
      <c r="G82" s="65">
        <v>20</v>
      </c>
      <c r="H82" s="65">
        <v>1</v>
      </c>
      <c r="I82" s="68">
        <v>250</v>
      </c>
      <c r="J82" s="68">
        <f>InvoicesMain[[#This Row],[PRICE]]</f>
        <v>250</v>
      </c>
      <c r="K82" s="67" t="s">
        <v>53</v>
      </c>
      <c r="L82" s="44"/>
    </row>
    <row r="83" spans="1:12" s="2" customFormat="1">
      <c r="A83" s="74"/>
      <c r="B83" s="35">
        <f t="shared" si="2"/>
        <v>79</v>
      </c>
      <c r="C83" s="36" t="s">
        <v>130</v>
      </c>
      <c r="D83" s="75">
        <v>46097</v>
      </c>
      <c r="E83" s="43" t="s">
        <v>92</v>
      </c>
      <c r="F83" s="39">
        <v>0</v>
      </c>
      <c r="G83" s="38">
        <v>20</v>
      </c>
      <c r="H83" s="38">
        <v>1</v>
      </c>
      <c r="I83" s="40">
        <v>250</v>
      </c>
      <c r="J83" s="40">
        <f>InvoicesMain[[#This Row],[PRICE]]</f>
        <v>250</v>
      </c>
      <c r="K83" s="36"/>
      <c r="L83" s="44"/>
    </row>
    <row r="84" spans="1:12" s="2" customFormat="1">
      <c r="A84" s="74"/>
      <c r="B84" s="35">
        <f t="shared" si="2"/>
        <v>80</v>
      </c>
      <c r="C84" s="36" t="s">
        <v>131</v>
      </c>
      <c r="D84" s="75">
        <v>46097</v>
      </c>
      <c r="E84" s="43" t="s">
        <v>10</v>
      </c>
      <c r="F84" s="39">
        <v>0</v>
      </c>
      <c r="G84" s="38">
        <v>20</v>
      </c>
      <c r="H84" s="38">
        <v>1</v>
      </c>
      <c r="I84" s="40">
        <v>300</v>
      </c>
      <c r="J84" s="40">
        <f>InvoicesMain[[#This Row],[PRICE]]</f>
        <v>300</v>
      </c>
      <c r="K84" s="36"/>
      <c r="L84" s="44"/>
    </row>
    <row r="85" spans="1:12" s="2" customFormat="1">
      <c r="A85" s="74"/>
      <c r="B85" s="35">
        <f t="shared" si="2"/>
        <v>81</v>
      </c>
      <c r="C85" s="36" t="s">
        <v>132</v>
      </c>
      <c r="D85" s="75">
        <v>46097</v>
      </c>
      <c r="E85" s="43" t="s">
        <v>122</v>
      </c>
      <c r="F85" s="39">
        <v>0</v>
      </c>
      <c r="G85" s="38">
        <v>30</v>
      </c>
      <c r="H85" s="38">
        <v>1</v>
      </c>
      <c r="I85" s="40">
        <v>350</v>
      </c>
      <c r="J85" s="40">
        <f>InvoicesMain[[#This Row],[PRICE]]</f>
        <v>350</v>
      </c>
      <c r="K85" s="36"/>
      <c r="L85" s="44"/>
    </row>
    <row r="86" spans="1:12" s="2" customFormat="1">
      <c r="A86" s="74"/>
      <c r="B86" s="35">
        <f t="shared" si="2"/>
        <v>82</v>
      </c>
      <c r="C86" s="36" t="s">
        <v>132</v>
      </c>
      <c r="D86" s="75">
        <v>46097</v>
      </c>
      <c r="E86" s="43" t="s">
        <v>133</v>
      </c>
      <c r="F86" s="39">
        <v>0</v>
      </c>
      <c r="G86" s="38">
        <v>30</v>
      </c>
      <c r="H86" s="38">
        <v>1</v>
      </c>
      <c r="I86" s="40">
        <v>350</v>
      </c>
      <c r="J86" s="40">
        <f>InvoicesMain[[#This Row],[PRICE]]</f>
        <v>350</v>
      </c>
      <c r="K86" s="36"/>
      <c r="L86" s="44"/>
    </row>
    <row r="87" spans="1:12" s="2" customFormat="1">
      <c r="A87" s="74"/>
      <c r="B87" s="35">
        <f t="shared" si="2"/>
        <v>83</v>
      </c>
      <c r="C87" s="36" t="s">
        <v>134</v>
      </c>
      <c r="D87" s="75">
        <v>46097</v>
      </c>
      <c r="E87" s="43" t="s">
        <v>68</v>
      </c>
      <c r="F87" s="39">
        <v>0</v>
      </c>
      <c r="G87" s="38">
        <v>30</v>
      </c>
      <c r="H87" s="38">
        <v>1</v>
      </c>
      <c r="I87" s="40">
        <v>350</v>
      </c>
      <c r="J87" s="40">
        <f>InvoicesMain[[#This Row],[PRICE]]</f>
        <v>350</v>
      </c>
      <c r="K87" s="36"/>
      <c r="L87" s="44"/>
    </row>
    <row r="88" spans="1:12" s="2" customFormat="1">
      <c r="A88" s="74"/>
      <c r="B88" s="35">
        <f t="shared" si="2"/>
        <v>84</v>
      </c>
      <c r="C88" s="36" t="s">
        <v>134</v>
      </c>
      <c r="D88" s="75">
        <v>46097</v>
      </c>
      <c r="E88" s="43" t="s">
        <v>124</v>
      </c>
      <c r="F88" s="39">
        <v>0</v>
      </c>
      <c r="G88" s="38">
        <v>30</v>
      </c>
      <c r="H88" s="38">
        <v>1</v>
      </c>
      <c r="I88" s="40">
        <v>400</v>
      </c>
      <c r="J88" s="40">
        <f>InvoicesMain[[#This Row],[PRICE]]</f>
        <v>400</v>
      </c>
      <c r="K88" s="36"/>
      <c r="L88" s="44"/>
    </row>
    <row r="89" spans="1:12" s="2" customFormat="1">
      <c r="A89" s="74"/>
      <c r="B89" s="35">
        <f t="shared" si="2"/>
        <v>85</v>
      </c>
      <c r="C89" s="36" t="s">
        <v>134</v>
      </c>
      <c r="D89" s="75">
        <v>46097</v>
      </c>
      <c r="E89" s="43" t="s">
        <v>133</v>
      </c>
      <c r="F89" s="39">
        <v>0</v>
      </c>
      <c r="G89" s="38">
        <v>20</v>
      </c>
      <c r="H89" s="38">
        <v>1</v>
      </c>
      <c r="I89" s="40">
        <v>250</v>
      </c>
      <c r="J89" s="40">
        <f>InvoicesMain[[#This Row],[PRICE]]</f>
        <v>250</v>
      </c>
      <c r="K89" s="36"/>
      <c r="L89" s="44"/>
    </row>
    <row r="90" spans="1:12" s="2" customFormat="1">
      <c r="A90" s="74"/>
      <c r="B90" s="35">
        <f t="shared" si="2"/>
        <v>86</v>
      </c>
      <c r="C90" s="36" t="s">
        <v>134</v>
      </c>
      <c r="D90" s="75">
        <v>46097</v>
      </c>
      <c r="E90" s="43" t="s">
        <v>10</v>
      </c>
      <c r="F90" s="39">
        <v>0</v>
      </c>
      <c r="G90" s="38">
        <v>20</v>
      </c>
      <c r="H90" s="38">
        <v>1</v>
      </c>
      <c r="I90" s="40">
        <v>300</v>
      </c>
      <c r="J90" s="40">
        <f>InvoicesMain[[#This Row],[PRICE]]</f>
        <v>300</v>
      </c>
      <c r="K90" s="36"/>
      <c r="L90" s="44"/>
    </row>
    <row r="91" spans="1:12" s="2" customFormat="1">
      <c r="A91" s="74"/>
      <c r="B91" s="35">
        <f t="shared" si="2"/>
        <v>87</v>
      </c>
      <c r="C91" s="36" t="s">
        <v>135</v>
      </c>
      <c r="D91" s="75">
        <v>46103</v>
      </c>
      <c r="E91" s="43" t="s">
        <v>95</v>
      </c>
      <c r="F91" s="39">
        <v>0</v>
      </c>
      <c r="G91" s="38">
        <v>50</v>
      </c>
      <c r="H91" s="38">
        <v>1</v>
      </c>
      <c r="I91" s="40">
        <v>500</v>
      </c>
      <c r="J91" s="40">
        <f>InvoicesMain[[#This Row],[PRICE]]</f>
        <v>500</v>
      </c>
      <c r="K91" s="36"/>
      <c r="L91" s="44"/>
    </row>
    <row r="92" spans="1:12" s="2" customFormat="1">
      <c r="A92" s="74"/>
      <c r="B92" s="35">
        <f t="shared" si="2"/>
        <v>88</v>
      </c>
      <c r="C92" s="36" t="s">
        <v>136</v>
      </c>
      <c r="D92" s="75">
        <v>46103</v>
      </c>
      <c r="E92" s="43" t="s">
        <v>87</v>
      </c>
      <c r="F92" s="39">
        <v>0</v>
      </c>
      <c r="G92" s="38">
        <v>30</v>
      </c>
      <c r="H92" s="38">
        <v>1</v>
      </c>
      <c r="I92" s="40">
        <v>350</v>
      </c>
      <c r="J92" s="40">
        <f>InvoicesMain[[#This Row],[PRICE]]</f>
        <v>350</v>
      </c>
      <c r="K92" s="36"/>
      <c r="L92" s="44"/>
    </row>
    <row r="93" spans="1:12" s="2" customFormat="1">
      <c r="A93" s="74"/>
      <c r="B93" s="35">
        <f t="shared" si="2"/>
        <v>89</v>
      </c>
      <c r="C93" s="36" t="s">
        <v>137</v>
      </c>
      <c r="D93" s="75">
        <v>46105</v>
      </c>
      <c r="E93" s="43" t="s">
        <v>87</v>
      </c>
      <c r="F93" s="39">
        <v>0</v>
      </c>
      <c r="G93" s="38">
        <v>50</v>
      </c>
      <c r="H93" s="38">
        <v>1</v>
      </c>
      <c r="I93" s="40">
        <v>650</v>
      </c>
      <c r="J93" s="40">
        <f>InvoicesMain[[#This Row],[PRICE]]</f>
        <v>650</v>
      </c>
      <c r="K93" s="36"/>
      <c r="L93" s="44"/>
    </row>
    <row r="94" spans="1:12" s="2" customFormat="1">
      <c r="A94" s="74"/>
      <c r="B94" s="35">
        <f t="shared" si="2"/>
        <v>90</v>
      </c>
      <c r="C94" s="36" t="s">
        <v>137</v>
      </c>
      <c r="D94" s="75">
        <v>46105</v>
      </c>
      <c r="E94" s="43" t="s">
        <v>70</v>
      </c>
      <c r="F94" s="39">
        <v>0</v>
      </c>
      <c r="G94" s="38">
        <v>30</v>
      </c>
      <c r="H94" s="38">
        <v>1</v>
      </c>
      <c r="I94" s="40">
        <v>350</v>
      </c>
      <c r="J94" s="40">
        <v>350</v>
      </c>
      <c r="K94" s="36"/>
      <c r="L94" s="44"/>
    </row>
    <row r="95" spans="1:12" s="2" customFormat="1">
      <c r="A95" s="74"/>
      <c r="B95" s="35">
        <f t="shared" si="2"/>
        <v>91</v>
      </c>
      <c r="C95" s="36" t="s">
        <v>110</v>
      </c>
      <c r="D95" s="75">
        <v>46098</v>
      </c>
      <c r="E95" s="43" t="s">
        <v>138</v>
      </c>
      <c r="F95" s="39">
        <v>0</v>
      </c>
      <c r="G95" s="38">
        <v>30</v>
      </c>
      <c r="H95" s="38">
        <v>1</v>
      </c>
      <c r="I95" s="40">
        <v>300</v>
      </c>
      <c r="J95" s="40">
        <v>300</v>
      </c>
      <c r="K95" s="36"/>
      <c r="L95" s="44"/>
    </row>
    <row r="96" spans="1:12" s="2" customFormat="1">
      <c r="A96" s="74"/>
      <c r="B96" s="35">
        <f t="shared" si="2"/>
        <v>92</v>
      </c>
      <c r="C96" s="36" t="s">
        <v>130</v>
      </c>
      <c r="D96" s="83">
        <v>46113</v>
      </c>
      <c r="E96" s="43" t="s">
        <v>67</v>
      </c>
      <c r="F96" s="39">
        <v>0</v>
      </c>
      <c r="G96" s="38">
        <v>50</v>
      </c>
      <c r="H96" s="38">
        <v>1</v>
      </c>
      <c r="I96" s="40">
        <v>500</v>
      </c>
      <c r="J96" s="40">
        <f>InvoicesMain[[#This Row],[PRICE]]</f>
        <v>500</v>
      </c>
      <c r="K96" s="36"/>
      <c r="L96" s="44"/>
    </row>
    <row r="97" spans="1:12" s="2" customFormat="1">
      <c r="A97" s="74"/>
      <c r="B97" s="35">
        <f t="shared" si="2"/>
        <v>93</v>
      </c>
      <c r="C97" s="36"/>
      <c r="D97" s="83" t="s">
        <v>5</v>
      </c>
      <c r="E97" s="43"/>
      <c r="F97" s="39">
        <v>0</v>
      </c>
      <c r="G97" s="38"/>
      <c r="H97" s="38"/>
      <c r="I97" s="40" t="s">
        <v>5</v>
      </c>
      <c r="J97" s="40" t="s">
        <v>5</v>
      </c>
      <c r="K97" s="36"/>
      <c r="L97" s="44"/>
    </row>
    <row r="98" spans="1:12" s="2" customFormat="1">
      <c r="A98" s="74"/>
      <c r="B98" s="35">
        <f t="shared" si="2"/>
        <v>94</v>
      </c>
      <c r="C98" s="36"/>
      <c r="D98" s="83" t="s">
        <v>5</v>
      </c>
      <c r="E98" s="43"/>
      <c r="F98" s="39">
        <v>0</v>
      </c>
      <c r="G98" s="38"/>
      <c r="H98" s="38"/>
      <c r="I98" s="40" t="s">
        <v>5</v>
      </c>
      <c r="J98" s="40" t="s">
        <v>5</v>
      </c>
      <c r="K98" s="36"/>
      <c r="L98" s="44"/>
    </row>
    <row r="99" spans="1:12" s="2" customFormat="1">
      <c r="A99" s="74"/>
      <c r="B99" s="35">
        <f t="shared" si="2"/>
        <v>95</v>
      </c>
      <c r="C99" s="36"/>
      <c r="D99" s="83" t="s">
        <v>5</v>
      </c>
      <c r="E99" s="43"/>
      <c r="F99" s="39">
        <v>0</v>
      </c>
      <c r="G99" s="38"/>
      <c r="H99" s="38"/>
      <c r="I99" s="40" t="s">
        <v>5</v>
      </c>
      <c r="J99" s="40" t="s">
        <v>5</v>
      </c>
      <c r="K99" s="36"/>
      <c r="L99" s="44"/>
    </row>
    <row r="100" spans="1:12" s="2" customFormat="1">
      <c r="A100" s="74"/>
      <c r="B100" s="35">
        <f t="shared" si="2"/>
        <v>96</v>
      </c>
      <c r="C100" s="36"/>
      <c r="D100" s="83" t="s">
        <v>5</v>
      </c>
      <c r="E100" s="43"/>
      <c r="F100" s="39">
        <v>0</v>
      </c>
      <c r="G100" s="38"/>
      <c r="H100" s="38"/>
      <c r="I100" s="40" t="s">
        <v>5</v>
      </c>
      <c r="J100" s="40" t="s">
        <v>5</v>
      </c>
      <c r="K100" s="36"/>
      <c r="L100" s="44"/>
    </row>
    <row r="101" spans="1:12" s="2" customFormat="1">
      <c r="A101" s="74"/>
      <c r="B101" s="35">
        <f t="shared" si="2"/>
        <v>97</v>
      </c>
      <c r="C101" s="36"/>
      <c r="D101" s="83" t="s">
        <v>5</v>
      </c>
      <c r="E101" s="43"/>
      <c r="F101" s="39">
        <v>0</v>
      </c>
      <c r="G101" s="38"/>
      <c r="H101" s="38"/>
      <c r="I101" s="40" t="s">
        <v>5</v>
      </c>
      <c r="J101" s="40" t="s">
        <v>5</v>
      </c>
      <c r="K101" s="36"/>
      <c r="L101" s="44"/>
    </row>
    <row r="102" spans="1:12" s="2" customFormat="1">
      <c r="A102" s="74"/>
      <c r="B102" s="35">
        <f t="shared" si="2"/>
        <v>98</v>
      </c>
      <c r="C102" s="36"/>
      <c r="D102" s="83" t="s">
        <v>5</v>
      </c>
      <c r="E102" s="43"/>
      <c r="F102" s="39">
        <v>0</v>
      </c>
      <c r="G102" s="38"/>
      <c r="H102" s="38"/>
      <c r="I102" s="40" t="s">
        <v>5</v>
      </c>
      <c r="J102" s="40" t="s">
        <v>5</v>
      </c>
      <c r="K102" s="36"/>
      <c r="L102" s="44"/>
    </row>
    <row r="103" spans="1:12" s="2" customFormat="1">
      <c r="A103" s="74"/>
      <c r="B103" s="35">
        <f t="shared" si="2"/>
        <v>99</v>
      </c>
      <c r="C103" s="36"/>
      <c r="D103" s="83" t="s">
        <v>5</v>
      </c>
      <c r="E103" s="43"/>
      <c r="F103" s="39">
        <v>0</v>
      </c>
      <c r="G103" s="38"/>
      <c r="H103" s="38"/>
      <c r="I103" s="40" t="s">
        <v>5</v>
      </c>
      <c r="J103" s="40" t="s">
        <v>5</v>
      </c>
      <c r="K103" s="36"/>
      <c r="L103" s="44"/>
    </row>
    <row r="104" spans="1:12" s="2" customFormat="1">
      <c r="A104" s="74"/>
      <c r="B104" s="35">
        <f t="shared" si="2"/>
        <v>100</v>
      </c>
      <c r="C104" s="36"/>
      <c r="D104" s="83" t="s">
        <v>5</v>
      </c>
      <c r="E104" s="43"/>
      <c r="F104" s="39">
        <v>0</v>
      </c>
      <c r="G104" s="38"/>
      <c r="H104" s="38"/>
      <c r="I104" s="40" t="s">
        <v>5</v>
      </c>
      <c r="J104" s="40" t="s">
        <v>5</v>
      </c>
      <c r="K104" s="36"/>
      <c r="L104" s="44"/>
    </row>
    <row r="105" spans="1:12" s="2" customFormat="1">
      <c r="A105" s="74"/>
      <c r="B105" s="35">
        <f t="shared" si="2"/>
        <v>101</v>
      </c>
      <c r="C105" s="36"/>
      <c r="D105" s="83" t="s">
        <v>5</v>
      </c>
      <c r="E105" s="43"/>
      <c r="F105" s="39">
        <v>0</v>
      </c>
      <c r="G105" s="38"/>
      <c r="H105" s="38"/>
      <c r="I105" s="40" t="s">
        <v>5</v>
      </c>
      <c r="J105" s="40" t="s">
        <v>5</v>
      </c>
      <c r="K105" s="36"/>
      <c r="L105" s="44"/>
    </row>
    <row r="106" spans="1:12" s="2" customFormat="1">
      <c r="A106" s="74"/>
      <c r="B106" s="35">
        <f t="shared" si="2"/>
        <v>102</v>
      </c>
      <c r="C106" s="36"/>
      <c r="D106" s="83" t="s">
        <v>5</v>
      </c>
      <c r="E106" s="43"/>
      <c r="F106" s="39">
        <v>0</v>
      </c>
      <c r="G106" s="38"/>
      <c r="H106" s="38"/>
      <c r="I106" s="40" t="s">
        <v>5</v>
      </c>
      <c r="J106" s="40" t="s">
        <v>5</v>
      </c>
      <c r="K106" s="36"/>
      <c r="L106" s="44"/>
    </row>
    <row r="107" spans="1:12" s="2" customFormat="1">
      <c r="A107" s="74"/>
      <c r="B107" s="35">
        <f t="shared" si="2"/>
        <v>103</v>
      </c>
      <c r="C107" s="36"/>
      <c r="D107" s="83" t="s">
        <v>5</v>
      </c>
      <c r="E107" s="43"/>
      <c r="F107" s="39">
        <v>0</v>
      </c>
      <c r="G107" s="38"/>
      <c r="H107" s="38"/>
      <c r="I107" s="40" t="s">
        <v>5</v>
      </c>
      <c r="J107" s="40" t="s">
        <v>5</v>
      </c>
      <c r="K107" s="36"/>
      <c r="L107" s="44"/>
    </row>
    <row r="108" spans="1:12" s="2" customFormat="1">
      <c r="A108" s="74"/>
      <c r="B108" s="35">
        <f t="shared" si="2"/>
        <v>104</v>
      </c>
      <c r="C108" s="36"/>
      <c r="D108" s="83" t="s">
        <v>5</v>
      </c>
      <c r="E108" s="43"/>
      <c r="F108" s="39">
        <v>0</v>
      </c>
      <c r="G108" s="38"/>
      <c r="H108" s="38"/>
      <c r="I108" s="40" t="s">
        <v>5</v>
      </c>
      <c r="J108" s="40" t="s">
        <v>5</v>
      </c>
      <c r="K108" s="36"/>
      <c r="L108" s="44"/>
    </row>
    <row r="109" spans="1:12" s="2" customFormat="1">
      <c r="A109" s="74"/>
      <c r="B109" s="35">
        <f t="shared" si="2"/>
        <v>105</v>
      </c>
      <c r="C109" s="36"/>
      <c r="D109" s="83" t="s">
        <v>5</v>
      </c>
      <c r="E109" s="43"/>
      <c r="F109" s="39">
        <v>0</v>
      </c>
      <c r="G109" s="38"/>
      <c r="H109" s="38"/>
      <c r="I109" s="40" t="s">
        <v>5</v>
      </c>
      <c r="J109" s="40" t="s">
        <v>5</v>
      </c>
      <c r="K109" s="36"/>
      <c r="L109" s="44"/>
    </row>
    <row r="110" spans="1:12" s="2" customFormat="1">
      <c r="A110" s="74"/>
      <c r="B110" s="35">
        <f t="shared" si="2"/>
        <v>106</v>
      </c>
      <c r="C110" s="36"/>
      <c r="D110" s="83" t="s">
        <v>5</v>
      </c>
      <c r="E110" s="43"/>
      <c r="F110" s="39">
        <v>0</v>
      </c>
      <c r="G110" s="38"/>
      <c r="H110" s="38"/>
      <c r="I110" s="40" t="s">
        <v>5</v>
      </c>
      <c r="J110" s="40" t="s">
        <v>5</v>
      </c>
      <c r="K110" s="36"/>
      <c r="L110" s="44"/>
    </row>
    <row r="111" spans="1:12" s="2" customFormat="1">
      <c r="A111" s="74"/>
      <c r="B111" s="35">
        <f t="shared" si="2"/>
        <v>107</v>
      </c>
      <c r="C111" s="36"/>
      <c r="D111" s="83" t="s">
        <v>5</v>
      </c>
      <c r="E111" s="43"/>
      <c r="F111" s="39">
        <v>0</v>
      </c>
      <c r="G111" s="38"/>
      <c r="H111" s="38"/>
      <c r="I111" s="40" t="s">
        <v>5</v>
      </c>
      <c r="J111" s="40" t="s">
        <v>5</v>
      </c>
      <c r="K111" s="36"/>
      <c r="L111" s="44"/>
    </row>
    <row r="112" spans="1:12" s="2" customFormat="1">
      <c r="A112" s="74"/>
      <c r="B112" s="35">
        <f t="shared" si="2"/>
        <v>108</v>
      </c>
      <c r="C112" s="36"/>
      <c r="D112" s="83" t="s">
        <v>5</v>
      </c>
      <c r="E112" s="43"/>
      <c r="F112" s="39">
        <v>0</v>
      </c>
      <c r="G112" s="38"/>
      <c r="H112" s="38"/>
      <c r="I112" s="40" t="s">
        <v>5</v>
      </c>
      <c r="J112" s="40" t="s">
        <v>5</v>
      </c>
      <c r="K112" s="36"/>
      <c r="L112" s="44"/>
    </row>
    <row r="113" spans="1:12" s="2" customFormat="1">
      <c r="A113" s="74"/>
      <c r="B113" s="35">
        <f t="shared" si="2"/>
        <v>109</v>
      </c>
      <c r="C113" s="36"/>
      <c r="D113" s="83" t="s">
        <v>5</v>
      </c>
      <c r="E113" s="43"/>
      <c r="F113" s="39">
        <v>0</v>
      </c>
      <c r="G113" s="38"/>
      <c r="H113" s="38"/>
      <c r="I113" s="40" t="s">
        <v>5</v>
      </c>
      <c r="J113" s="40" t="s">
        <v>5</v>
      </c>
      <c r="K113" s="36"/>
      <c r="L113" s="44"/>
    </row>
    <row r="114" spans="1:12" s="2" customFormat="1">
      <c r="A114" s="74"/>
      <c r="B114" s="35">
        <f t="shared" si="2"/>
        <v>110</v>
      </c>
      <c r="C114" s="36"/>
      <c r="D114" s="83" t="s">
        <v>5</v>
      </c>
      <c r="E114" s="43"/>
      <c r="F114" s="39">
        <v>0</v>
      </c>
      <c r="G114" s="38"/>
      <c r="H114" s="38"/>
      <c r="I114" s="40" t="s">
        <v>5</v>
      </c>
      <c r="J114" s="40" t="s">
        <v>5</v>
      </c>
      <c r="K114" s="36"/>
      <c r="L114" s="44"/>
    </row>
    <row r="115" spans="1:12" s="2" customFormat="1">
      <c r="A115" s="74"/>
      <c r="B115" s="35">
        <f t="shared" si="2"/>
        <v>111</v>
      </c>
      <c r="C115" s="36"/>
      <c r="D115" s="83" t="s">
        <v>5</v>
      </c>
      <c r="E115" s="43"/>
      <c r="F115" s="39">
        <v>0</v>
      </c>
      <c r="G115" s="38"/>
      <c r="H115" s="38"/>
      <c r="I115" s="40" t="s">
        <v>5</v>
      </c>
      <c r="J115" s="40" t="s">
        <v>5</v>
      </c>
      <c r="K115" s="36"/>
      <c r="L115" s="44"/>
    </row>
    <row r="116" spans="1:12" s="2" customFormat="1">
      <c r="A116" s="74"/>
      <c r="B116" s="35">
        <f t="shared" si="2"/>
        <v>112</v>
      </c>
      <c r="C116" s="36"/>
      <c r="D116" s="83" t="s">
        <v>5</v>
      </c>
      <c r="E116" s="43"/>
      <c r="F116" s="39">
        <v>0</v>
      </c>
      <c r="G116" s="38"/>
      <c r="H116" s="38"/>
      <c r="I116" s="40" t="s">
        <v>5</v>
      </c>
      <c r="J116" s="40" t="s">
        <v>5</v>
      </c>
      <c r="K116" s="36"/>
      <c r="L116" s="44"/>
    </row>
    <row r="117" spans="1:12">
      <c r="A117" s="74"/>
      <c r="B117" s="35">
        <f t="shared" si="2"/>
        <v>113</v>
      </c>
      <c r="C117" s="36"/>
      <c r="D117" s="70" t="s">
        <v>5</v>
      </c>
      <c r="E117" s="43" t="s">
        <v>5</v>
      </c>
      <c r="F117" s="39">
        <v>0</v>
      </c>
      <c r="G117" s="38" t="s">
        <v>5</v>
      </c>
      <c r="H117" s="38" t="s">
        <v>5</v>
      </c>
      <c r="I117" s="40" t="s">
        <v>5</v>
      </c>
      <c r="J117" s="40" t="s">
        <v>5</v>
      </c>
      <c r="K117" s="36"/>
      <c r="L117" s="44"/>
    </row>
    <row r="118" spans="1:12" ht="21">
      <c r="B118" s="45" t="s">
        <v>4</v>
      </c>
      <c r="C118" s="46"/>
      <c r="D118" s="47"/>
      <c r="E118" s="48"/>
      <c r="F118" s="49"/>
      <c r="G118" s="50">
        <f>SUBTOTAL(109,InvoicesMain[ML])</f>
        <v>3068</v>
      </c>
      <c r="H118" s="50">
        <f>SUBTOTAL(109,InvoicesMain[QTY])</f>
        <v>174</v>
      </c>
      <c r="I118" s="51">
        <f>SUBTOTAL(109,InvoicesMain[PRICE])</f>
        <v>30400</v>
      </c>
      <c r="J118" s="51">
        <f>SUBTOTAL(109,InvoicesMain[Invoice Total])</f>
        <v>30400</v>
      </c>
      <c r="K118" s="51"/>
      <c r="L118" s="52"/>
    </row>
  </sheetData>
  <sheetProtection formatCells="0" formatColumns="0" formatRows="0" insertRows="0" insertHyperlinks="0" deleteRows="0" selectLockedCells="1" sort="0" autoFilter="0" pivotTables="0"/>
  <autoFilter ref="A4:A64"/>
  <conditionalFormatting sqref="C117 B5:C16 C17:C67 B17:B117">
    <cfRule type="duplicateValues" dxfId="1" priority="55"/>
  </conditionalFormatting>
  <conditionalFormatting sqref="C68:C116">
    <cfRule type="duplicateValues" dxfId="0" priority="2"/>
  </conditionalFormatting>
  <printOptions horizontalCentered="1"/>
  <pageMargins left="0.25" right="0.25" top="0.75" bottom="0.75" header="0.3" footer="0.3"/>
  <pageSetup scale="74" fitToHeight="0" orientation="landscape" r:id="rId1"/>
  <headerFooter differentFirst="1">
    <oddFooter>Page &amp;P of &amp;N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B2:K53"/>
  <sheetViews>
    <sheetView topLeftCell="A13" zoomScale="115" zoomScaleNormal="115" workbookViewId="0">
      <selection activeCell="H52" sqref="H52"/>
    </sheetView>
  </sheetViews>
  <sheetFormatPr defaultRowHeight="15"/>
  <cols>
    <col min="1" max="1" width="2.7109375" style="9" customWidth="1"/>
    <col min="2" max="2" width="19" style="9" customWidth="1"/>
    <col min="3" max="3" width="18.28515625" style="9" bestFit="1" customWidth="1"/>
    <col min="4" max="4" width="21.140625" style="9" bestFit="1" customWidth="1"/>
    <col min="5" max="5" width="20" style="9" customWidth="1"/>
    <col min="6" max="6" width="17.85546875" style="9" bestFit="1" customWidth="1"/>
    <col min="7" max="7" width="16.28515625" style="9" customWidth="1"/>
    <col min="8" max="8" width="22.7109375" style="9" bestFit="1" customWidth="1"/>
    <col min="9" max="9" width="17.5703125" style="9" customWidth="1"/>
    <col min="10" max="10" width="16.28515625" style="9" customWidth="1"/>
    <col min="11" max="11" width="17.85546875" style="9" bestFit="1" customWidth="1"/>
    <col min="12" max="12" width="12.7109375" style="9" customWidth="1"/>
    <col min="13" max="16384" width="9.140625" style="9"/>
  </cols>
  <sheetData>
    <row r="2" spans="2:11" ht="31.5" thickBot="1">
      <c r="B2" s="6"/>
      <c r="C2" s="7"/>
      <c r="D2" s="7"/>
      <c r="E2" s="7"/>
      <c r="F2" s="7"/>
      <c r="G2" s="7"/>
      <c r="H2" s="7"/>
      <c r="I2" s="7"/>
      <c r="J2" s="7"/>
      <c r="K2" s="8"/>
    </row>
    <row r="3" spans="2:11" ht="32.25" thickTop="1" thickBot="1">
      <c r="B3" s="6"/>
      <c r="C3" s="7"/>
      <c r="D3" s="7"/>
      <c r="E3" s="7"/>
      <c r="F3" s="7"/>
      <c r="G3" s="7"/>
      <c r="H3" s="7"/>
      <c r="I3" s="7"/>
      <c r="J3" s="7"/>
      <c r="K3" s="8"/>
    </row>
    <row r="4" spans="2:11" ht="15.75" thickTop="1"/>
    <row r="5" spans="2:11">
      <c r="B5" s="28" t="s">
        <v>23</v>
      </c>
      <c r="C5" s="28" t="s">
        <v>24</v>
      </c>
      <c r="D5" s="28" t="s">
        <v>25</v>
      </c>
      <c r="E5" s="28" t="s">
        <v>26</v>
      </c>
      <c r="F5" s="28" t="s">
        <v>38</v>
      </c>
      <c r="G5" s="28" t="s">
        <v>35</v>
      </c>
      <c r="H5" s="28" t="s">
        <v>27</v>
      </c>
      <c r="I5" s="28" t="s">
        <v>28</v>
      </c>
      <c r="J5" s="28" t="s">
        <v>29</v>
      </c>
      <c r="K5" s="28" t="s">
        <v>30</v>
      </c>
    </row>
    <row r="6" spans="2:11">
      <c r="B6" s="10">
        <v>46024</v>
      </c>
      <c r="C6" s="11" t="s">
        <v>36</v>
      </c>
      <c r="D6" s="11" t="s">
        <v>37</v>
      </c>
      <c r="E6" s="11" t="s">
        <v>32</v>
      </c>
      <c r="F6" s="31">
        <v>3235</v>
      </c>
      <c r="G6" s="12" t="s">
        <v>5</v>
      </c>
      <c r="H6" s="12" t="s">
        <v>5</v>
      </c>
      <c r="I6" s="12" t="s">
        <v>5</v>
      </c>
      <c r="J6" s="12" t="s">
        <v>5</v>
      </c>
      <c r="K6" s="12">
        <f>SUM(ExpenseData[[#This Row],[AMOUNT ]:[Misc.]])</f>
        <v>3235</v>
      </c>
    </row>
    <row r="7" spans="2:11">
      <c r="B7" s="10">
        <v>46050</v>
      </c>
      <c r="C7" s="11" t="s">
        <v>36</v>
      </c>
      <c r="D7" s="11" t="s">
        <v>37</v>
      </c>
      <c r="E7" s="11" t="s">
        <v>32</v>
      </c>
      <c r="F7" s="31">
        <v>2760</v>
      </c>
      <c r="G7" s="12" t="s">
        <v>5</v>
      </c>
      <c r="H7" s="12" t="s">
        <v>5</v>
      </c>
      <c r="I7" s="12" t="s">
        <v>5</v>
      </c>
      <c r="J7" s="12" t="s">
        <v>5</v>
      </c>
      <c r="K7" s="12">
        <f>SUM(ExpenseData[[#This Row],[AMOUNT ]:[Misc.]])</f>
        <v>2760</v>
      </c>
    </row>
    <row r="8" spans="2:11">
      <c r="B8" s="10">
        <v>46057</v>
      </c>
      <c r="C8" s="11" t="s">
        <v>36</v>
      </c>
      <c r="D8" s="11" t="s">
        <v>39</v>
      </c>
      <c r="E8" s="11"/>
      <c r="F8" s="31"/>
      <c r="G8" s="12">
        <v>200</v>
      </c>
      <c r="H8" s="12" t="s">
        <v>5</v>
      </c>
      <c r="I8" s="12" t="s">
        <v>5</v>
      </c>
      <c r="J8" s="12" t="s">
        <v>5</v>
      </c>
      <c r="K8" s="12">
        <f>SUM(ExpenseData[[#This Row],[AMOUNT ]:[Misc.]])</f>
        <v>200</v>
      </c>
    </row>
    <row r="9" spans="2:11">
      <c r="B9" s="10">
        <v>46058</v>
      </c>
      <c r="C9" s="11" t="s">
        <v>36</v>
      </c>
      <c r="D9" s="11" t="s">
        <v>40</v>
      </c>
      <c r="E9" s="11" t="s">
        <v>41</v>
      </c>
      <c r="F9" s="31">
        <v>400</v>
      </c>
      <c r="G9" s="12" t="s">
        <v>5</v>
      </c>
      <c r="H9" s="12" t="s">
        <v>5</v>
      </c>
      <c r="I9" s="12" t="s">
        <v>5</v>
      </c>
      <c r="J9" s="12" t="s">
        <v>5</v>
      </c>
      <c r="K9" s="12">
        <f>SUM(ExpenseData[[#This Row],[AMOUNT ]:[Misc.]])</f>
        <v>400</v>
      </c>
    </row>
    <row r="10" spans="2:11">
      <c r="B10" s="10">
        <v>46063</v>
      </c>
      <c r="C10" s="11" t="s">
        <v>42</v>
      </c>
      <c r="D10" s="11" t="s">
        <v>37</v>
      </c>
      <c r="E10" s="11" t="s">
        <v>32</v>
      </c>
      <c r="F10" s="31">
        <v>1380</v>
      </c>
      <c r="G10" s="12" t="s">
        <v>5</v>
      </c>
      <c r="H10" s="12" t="s">
        <v>31</v>
      </c>
      <c r="I10" s="12" t="s">
        <v>5</v>
      </c>
      <c r="J10" s="12" t="s">
        <v>5</v>
      </c>
      <c r="K10" s="12">
        <f>SUM(ExpenseData[[#This Row],[AMOUNT ]:[Misc.]])</f>
        <v>1380</v>
      </c>
    </row>
    <row r="11" spans="2:11">
      <c r="B11" s="10">
        <v>46063</v>
      </c>
      <c r="C11" s="11" t="s">
        <v>43</v>
      </c>
      <c r="D11" s="11" t="s">
        <v>44</v>
      </c>
      <c r="E11" s="11" t="s">
        <v>45</v>
      </c>
      <c r="F11" s="31">
        <v>150</v>
      </c>
      <c r="G11" s="12" t="s">
        <v>5</v>
      </c>
      <c r="H11" s="12" t="s">
        <v>5</v>
      </c>
      <c r="I11" s="12" t="s">
        <v>5</v>
      </c>
      <c r="J11" s="12" t="s">
        <v>5</v>
      </c>
      <c r="K11" s="12">
        <f>SUM(ExpenseData[[#This Row],[AMOUNT ]:[Misc.]])</f>
        <v>150</v>
      </c>
    </row>
    <row r="12" spans="2:11" ht="15" customHeight="1">
      <c r="B12" s="10">
        <v>46069</v>
      </c>
      <c r="C12" s="11" t="s">
        <v>36</v>
      </c>
      <c r="D12" s="11" t="s">
        <v>63</v>
      </c>
      <c r="E12" s="11" t="s">
        <v>32</v>
      </c>
      <c r="F12" s="31">
        <v>10030</v>
      </c>
      <c r="G12" s="12" t="s">
        <v>5</v>
      </c>
      <c r="H12" s="12" t="s">
        <v>5</v>
      </c>
      <c r="I12" s="12" t="s">
        <v>5</v>
      </c>
      <c r="J12" s="12" t="s">
        <v>5</v>
      </c>
      <c r="K12" s="12">
        <f>SUM(ExpenseData[[#This Row],[AMOUNT ]:[Misc.]])</f>
        <v>10030</v>
      </c>
    </row>
    <row r="13" spans="2:11">
      <c r="B13" s="10">
        <v>46070</v>
      </c>
      <c r="C13" s="11" t="s">
        <v>36</v>
      </c>
      <c r="D13" s="11" t="s">
        <v>64</v>
      </c>
      <c r="E13" s="13" t="s">
        <v>32</v>
      </c>
      <c r="F13" s="64">
        <v>2080</v>
      </c>
      <c r="G13" s="12" t="s">
        <v>5</v>
      </c>
      <c r="H13" s="12" t="s">
        <v>5</v>
      </c>
      <c r="I13" s="12" t="s">
        <v>5</v>
      </c>
      <c r="J13" s="12" t="s">
        <v>5</v>
      </c>
      <c r="K13" s="12">
        <f>SUM(ExpenseData[[#This Row],[AMOUNT ]:[Misc.]])</f>
        <v>2080</v>
      </c>
    </row>
    <row r="14" spans="2:11">
      <c r="B14" s="10">
        <v>46069</v>
      </c>
      <c r="C14" s="11" t="s">
        <v>75</v>
      </c>
      <c r="D14" s="11" t="s">
        <v>76</v>
      </c>
      <c r="E14" s="11" t="s">
        <v>45</v>
      </c>
      <c r="F14" s="64">
        <v>200</v>
      </c>
      <c r="G14" s="12" t="s">
        <v>5</v>
      </c>
      <c r="H14" s="12" t="s">
        <v>5</v>
      </c>
      <c r="I14" s="12" t="s">
        <v>5</v>
      </c>
      <c r="J14" s="12" t="s">
        <v>5</v>
      </c>
      <c r="K14" s="12">
        <f>SUM(ExpenseData[[#This Row],[AMOUNT ]:[Misc.]])</f>
        <v>200</v>
      </c>
    </row>
    <row r="15" spans="2:11">
      <c r="B15" s="10">
        <v>46072</v>
      </c>
      <c r="C15" s="11" t="s">
        <v>36</v>
      </c>
      <c r="D15" s="11" t="s">
        <v>44</v>
      </c>
      <c r="E15" s="11" t="s">
        <v>81</v>
      </c>
      <c r="F15" s="64">
        <v>3569</v>
      </c>
      <c r="G15" s="12" t="s">
        <v>5</v>
      </c>
      <c r="H15" s="12" t="s">
        <v>5</v>
      </c>
      <c r="I15" s="12" t="s">
        <v>5</v>
      </c>
      <c r="J15" s="12" t="s">
        <v>5</v>
      </c>
      <c r="K15" s="12">
        <f>SUM(ExpenseData[[#This Row],[AMOUNT ]:[Misc.]])</f>
        <v>3569</v>
      </c>
    </row>
    <row r="16" spans="2:11">
      <c r="B16" s="10">
        <v>46072</v>
      </c>
      <c r="C16" s="11" t="s">
        <v>36</v>
      </c>
      <c r="D16" s="11" t="s">
        <v>64</v>
      </c>
      <c r="E16" s="11" t="s">
        <v>32</v>
      </c>
      <c r="F16" s="64">
        <v>3240</v>
      </c>
      <c r="G16" s="12" t="s">
        <v>5</v>
      </c>
      <c r="H16" s="12" t="s">
        <v>5</v>
      </c>
      <c r="I16" s="12" t="s">
        <v>5</v>
      </c>
      <c r="J16" s="12" t="s">
        <v>5</v>
      </c>
      <c r="K16" s="12">
        <f>SUM(ExpenseData[[#This Row],[AMOUNT ]:[Misc.]])</f>
        <v>3240</v>
      </c>
    </row>
    <row r="17" spans="2:11">
      <c r="B17" s="14">
        <v>46072</v>
      </c>
      <c r="C17" s="11" t="s">
        <v>36</v>
      </c>
      <c r="D17" s="15" t="s">
        <v>39</v>
      </c>
      <c r="E17" s="15"/>
      <c r="F17" s="64" t="s">
        <v>5</v>
      </c>
      <c r="G17" s="12">
        <v>220</v>
      </c>
      <c r="H17" s="12" t="s">
        <v>5</v>
      </c>
      <c r="I17" s="12" t="s">
        <v>5</v>
      </c>
      <c r="J17" s="12" t="s">
        <v>5</v>
      </c>
      <c r="K17" s="12">
        <f>SUM(ExpenseData[[#This Row],[AMOUNT ]:[Misc.]])</f>
        <v>220</v>
      </c>
    </row>
    <row r="18" spans="2:11">
      <c r="B18" s="14">
        <v>46072</v>
      </c>
      <c r="C18" s="11" t="s">
        <v>36</v>
      </c>
      <c r="D18" s="15" t="s">
        <v>82</v>
      </c>
      <c r="E18" s="15"/>
      <c r="F18" s="64" t="s">
        <v>5</v>
      </c>
      <c r="G18" s="16"/>
      <c r="H18" s="16"/>
      <c r="I18" s="16"/>
      <c r="J18" s="12">
        <v>175</v>
      </c>
      <c r="K18" s="12">
        <f>SUM(ExpenseData[[#This Row],[AMOUNT ]:[Misc.]])</f>
        <v>175</v>
      </c>
    </row>
    <row r="19" spans="2:11">
      <c r="B19" s="17">
        <v>46073</v>
      </c>
      <c r="C19" s="11" t="s">
        <v>36</v>
      </c>
      <c r="D19" s="15" t="s">
        <v>37</v>
      </c>
      <c r="E19" s="15" t="s">
        <v>32</v>
      </c>
      <c r="F19" s="64">
        <v>3760</v>
      </c>
      <c r="G19" s="16"/>
      <c r="H19" s="16"/>
      <c r="I19" s="16"/>
      <c r="J19" s="12" t="s">
        <v>5</v>
      </c>
      <c r="K19" s="12">
        <f>SUM(ExpenseData[[#This Row],[AMOUNT ]:[Misc.]])</f>
        <v>3760</v>
      </c>
    </row>
    <row r="20" spans="2:11">
      <c r="B20" s="17">
        <v>46073</v>
      </c>
      <c r="C20" s="11" t="s">
        <v>36</v>
      </c>
      <c r="D20" s="15" t="s">
        <v>37</v>
      </c>
      <c r="E20" s="15" t="s">
        <v>32</v>
      </c>
      <c r="F20" s="64">
        <v>1350</v>
      </c>
      <c r="G20" s="16"/>
      <c r="H20" s="16"/>
      <c r="I20" s="16"/>
      <c r="J20" s="12" t="s">
        <v>5</v>
      </c>
      <c r="K20" s="12">
        <f>SUM(ExpenseData[[#This Row],[AMOUNT ]:[Misc.]])</f>
        <v>1350</v>
      </c>
    </row>
    <row r="21" spans="2:11">
      <c r="B21" s="17">
        <v>46073</v>
      </c>
      <c r="C21" s="11" t="s">
        <v>36</v>
      </c>
      <c r="D21" s="15" t="s">
        <v>76</v>
      </c>
      <c r="E21" s="15" t="s">
        <v>45</v>
      </c>
      <c r="F21" s="64">
        <v>1525</v>
      </c>
      <c r="G21" s="16"/>
      <c r="H21" s="16"/>
      <c r="I21" s="16"/>
      <c r="J21" s="12"/>
      <c r="K21" s="12">
        <f>SUM(ExpenseData[[#This Row],[AMOUNT ]:[Misc.]])</f>
        <v>1525</v>
      </c>
    </row>
    <row r="22" spans="2:11">
      <c r="B22" s="17">
        <v>46073</v>
      </c>
      <c r="C22" s="11" t="s">
        <v>42</v>
      </c>
      <c r="D22" s="15" t="s">
        <v>97</v>
      </c>
      <c r="E22" s="15"/>
      <c r="F22" s="64" t="s">
        <v>31</v>
      </c>
      <c r="G22" s="16">
        <v>75</v>
      </c>
      <c r="H22" s="16"/>
      <c r="I22" s="16"/>
      <c r="J22" s="12"/>
      <c r="K22" s="12">
        <f>SUM(ExpenseData[[#This Row],[AMOUNT ]:[Misc.]])</f>
        <v>75</v>
      </c>
    </row>
    <row r="23" spans="2:11">
      <c r="B23" s="17">
        <v>46073</v>
      </c>
      <c r="C23" s="11" t="s">
        <v>36</v>
      </c>
      <c r="D23" s="15" t="s">
        <v>64</v>
      </c>
      <c r="E23" s="15" t="s">
        <v>98</v>
      </c>
      <c r="F23" s="64">
        <v>565</v>
      </c>
      <c r="G23" s="16"/>
      <c r="H23" s="16"/>
      <c r="I23" s="16"/>
      <c r="J23" s="12"/>
      <c r="K23" s="12">
        <f>SUM(ExpenseData[[#This Row],[AMOUNT ]:[Misc.]])</f>
        <v>565</v>
      </c>
    </row>
    <row r="24" spans="2:11">
      <c r="B24" s="17">
        <v>46081</v>
      </c>
      <c r="C24" s="11" t="s">
        <v>36</v>
      </c>
      <c r="D24" s="15" t="s">
        <v>99</v>
      </c>
      <c r="E24" s="73" t="s">
        <v>102</v>
      </c>
      <c r="F24" s="64">
        <v>1002</v>
      </c>
      <c r="G24" s="16"/>
      <c r="H24" s="16"/>
      <c r="I24" s="16"/>
      <c r="J24" s="12"/>
      <c r="K24" s="12">
        <f>SUM(ExpenseData[[#This Row],[AMOUNT ]:[Misc.]])</f>
        <v>1002</v>
      </c>
    </row>
    <row r="25" spans="2:11">
      <c r="B25" s="17">
        <v>46081</v>
      </c>
      <c r="C25" s="11" t="s">
        <v>36</v>
      </c>
      <c r="D25" s="15" t="s">
        <v>99</v>
      </c>
      <c r="E25" s="15" t="s">
        <v>100</v>
      </c>
      <c r="F25" s="64">
        <v>700</v>
      </c>
      <c r="G25" s="16"/>
      <c r="H25" s="16"/>
      <c r="I25" s="16"/>
      <c r="J25" s="12"/>
      <c r="K25" s="12">
        <f>SUM(ExpenseData[[#This Row],[AMOUNT ]:[Misc.]])</f>
        <v>700</v>
      </c>
    </row>
    <row r="26" spans="2:11">
      <c r="B26" s="17">
        <v>46081</v>
      </c>
      <c r="C26" s="11" t="s">
        <v>36</v>
      </c>
      <c r="D26" s="15" t="s">
        <v>64</v>
      </c>
      <c r="E26" s="15" t="s">
        <v>101</v>
      </c>
      <c r="F26" s="64">
        <v>450</v>
      </c>
      <c r="G26" s="16"/>
      <c r="H26" s="16"/>
      <c r="I26" s="16"/>
      <c r="J26" s="12"/>
      <c r="K26" s="12">
        <f>SUM(ExpenseData[[#This Row],[AMOUNT ]:[Misc.]])</f>
        <v>450</v>
      </c>
    </row>
    <row r="27" spans="2:11">
      <c r="B27" s="17">
        <v>46081</v>
      </c>
      <c r="C27" s="11" t="s">
        <v>36</v>
      </c>
      <c r="D27" s="15" t="s">
        <v>39</v>
      </c>
      <c r="E27" s="15"/>
      <c r="F27" s="64"/>
      <c r="G27" s="16">
        <v>220</v>
      </c>
      <c r="H27" s="16"/>
      <c r="I27" s="16"/>
      <c r="J27" s="12"/>
      <c r="K27" s="12">
        <f>SUM(ExpenseData[[#This Row],[AMOUNT ]:[Misc.]])</f>
        <v>220</v>
      </c>
    </row>
    <row r="28" spans="2:11">
      <c r="B28" s="17"/>
      <c r="C28" s="11"/>
      <c r="D28" s="15"/>
      <c r="E28" s="15"/>
      <c r="F28" s="64"/>
      <c r="G28" s="16"/>
      <c r="H28" s="16"/>
      <c r="I28" s="16"/>
      <c r="J28" s="12"/>
      <c r="K28" s="12">
        <f>SUM(ExpenseData[[#This Row],[AMOUNT ]:[Misc.]])</f>
        <v>0</v>
      </c>
    </row>
    <row r="29" spans="2:11">
      <c r="B29" s="17"/>
      <c r="C29" s="11"/>
      <c r="D29" s="15"/>
      <c r="E29" s="15"/>
      <c r="F29" s="64"/>
      <c r="G29" s="16"/>
      <c r="H29" s="16"/>
      <c r="I29" s="16"/>
      <c r="J29" s="12"/>
      <c r="K29" s="12">
        <f>SUM(ExpenseData[[#This Row],[AMOUNT ]:[Misc.]])</f>
        <v>0</v>
      </c>
    </row>
    <row r="30" spans="2:11">
      <c r="B30" s="17"/>
      <c r="C30" s="11"/>
      <c r="D30" s="15"/>
      <c r="E30" s="15"/>
      <c r="F30" s="64"/>
      <c r="G30" s="16"/>
      <c r="H30" s="16"/>
      <c r="I30" s="16"/>
      <c r="J30" s="12"/>
      <c r="K30" s="12">
        <f>SUM(ExpenseData[[#This Row],[AMOUNT ]:[Misc.]])</f>
        <v>0</v>
      </c>
    </row>
    <row r="31" spans="2:11">
      <c r="B31" s="17"/>
      <c r="C31" s="11"/>
      <c r="D31" s="15"/>
      <c r="E31" s="15"/>
      <c r="F31" s="64"/>
      <c r="G31" s="16"/>
      <c r="H31" s="16"/>
      <c r="I31" s="16"/>
      <c r="J31" s="12"/>
      <c r="K31" s="12">
        <f>SUM(ExpenseData[[#This Row],[AMOUNT ]:[Misc.]])</f>
        <v>0</v>
      </c>
    </row>
    <row r="32" spans="2:11">
      <c r="B32" s="17"/>
      <c r="C32" s="11"/>
      <c r="D32" s="15"/>
      <c r="E32" s="15"/>
      <c r="F32" s="64"/>
      <c r="G32" s="16"/>
      <c r="H32" s="16"/>
      <c r="I32" s="16"/>
      <c r="J32" s="12"/>
      <c r="K32" s="12">
        <f>SUM(ExpenseData[[#This Row],[AMOUNT ]:[Misc.]])</f>
        <v>0</v>
      </c>
    </row>
    <row r="33" spans="2:11">
      <c r="B33" s="17"/>
      <c r="C33" s="11"/>
      <c r="D33" s="15"/>
      <c r="E33" s="15"/>
      <c r="F33" s="64"/>
      <c r="G33" s="16"/>
      <c r="H33" s="16"/>
      <c r="I33" s="16"/>
      <c r="J33" s="12"/>
      <c r="K33" s="12">
        <f>SUM(ExpenseData[[#This Row],[AMOUNT ]:[Misc.]])</f>
        <v>0</v>
      </c>
    </row>
    <row r="34" spans="2:11">
      <c r="B34" s="17"/>
      <c r="C34" s="11"/>
      <c r="D34" s="15"/>
      <c r="E34" s="15"/>
      <c r="F34" s="64"/>
      <c r="G34" s="16"/>
      <c r="H34" s="16"/>
      <c r="I34" s="16"/>
      <c r="J34" s="12"/>
      <c r="K34" s="12">
        <f>SUM(ExpenseData[[#This Row],[AMOUNT ]:[Misc.]])</f>
        <v>0</v>
      </c>
    </row>
    <row r="35" spans="2:11">
      <c r="B35" s="17"/>
      <c r="C35" s="11"/>
      <c r="D35" s="15"/>
      <c r="E35" s="15"/>
      <c r="F35" s="64"/>
      <c r="G35" s="16"/>
      <c r="H35" s="16"/>
      <c r="I35" s="16"/>
      <c r="J35" s="12"/>
      <c r="K35" s="12">
        <f>SUM(ExpenseData[[#This Row],[AMOUNT ]:[Misc.]])</f>
        <v>0</v>
      </c>
    </row>
    <row r="36" spans="2:11">
      <c r="B36" s="17"/>
      <c r="C36" s="11"/>
      <c r="D36" s="15"/>
      <c r="E36" s="15"/>
      <c r="F36" s="64"/>
      <c r="G36" s="16"/>
      <c r="H36" s="16"/>
      <c r="I36" s="16"/>
      <c r="J36" s="12"/>
      <c r="K36" s="12">
        <f>SUM(ExpenseData[[#This Row],[AMOUNT ]:[Misc.]])</f>
        <v>0</v>
      </c>
    </row>
    <row r="37" spans="2:11">
      <c r="B37" s="17"/>
      <c r="C37" s="11"/>
      <c r="D37" s="15"/>
      <c r="E37" s="15"/>
      <c r="F37" s="64"/>
      <c r="G37" s="16"/>
      <c r="H37" s="16"/>
      <c r="I37" s="16"/>
      <c r="J37" s="12"/>
      <c r="K37" s="12">
        <f>SUM(ExpenseData[[#This Row],[AMOUNT ]:[Misc.]])</f>
        <v>0</v>
      </c>
    </row>
    <row r="38" spans="2:11">
      <c r="B38" s="17"/>
      <c r="C38" s="11"/>
      <c r="D38" s="15"/>
      <c r="E38" s="15"/>
      <c r="F38" s="64"/>
      <c r="G38" s="16"/>
      <c r="H38" s="16"/>
      <c r="I38" s="16"/>
      <c r="J38" s="12"/>
      <c r="K38" s="12">
        <f>SUM(ExpenseData[[#This Row],[AMOUNT ]:[Misc.]])</f>
        <v>0</v>
      </c>
    </row>
    <row r="39" spans="2:11">
      <c r="B39" s="17"/>
      <c r="C39" s="11"/>
      <c r="D39" s="15"/>
      <c r="E39" s="15"/>
      <c r="F39" s="64"/>
      <c r="G39" s="16"/>
      <c r="H39" s="16"/>
      <c r="I39" s="16"/>
      <c r="J39" s="12"/>
      <c r="K39" s="12">
        <f>SUM(ExpenseData[[#This Row],[AMOUNT ]:[Misc.]])</f>
        <v>0</v>
      </c>
    </row>
    <row r="40" spans="2:11">
      <c r="B40" s="17"/>
      <c r="C40" s="11"/>
      <c r="D40" s="15"/>
      <c r="E40" s="15"/>
      <c r="F40" s="64"/>
      <c r="G40" s="16"/>
      <c r="H40" s="16"/>
      <c r="I40" s="16"/>
      <c r="J40" s="12"/>
      <c r="K40" s="12">
        <f>SUM(ExpenseData[[#This Row],[AMOUNT ]:[Misc.]])</f>
        <v>0</v>
      </c>
    </row>
    <row r="41" spans="2:11">
      <c r="B41" s="17"/>
      <c r="C41" s="11"/>
      <c r="D41" s="15"/>
      <c r="E41" s="15"/>
      <c r="F41" s="64"/>
      <c r="G41" s="16"/>
      <c r="H41" s="16"/>
      <c r="I41" s="16"/>
      <c r="J41" s="12"/>
      <c r="K41" s="12">
        <f>SUM(ExpenseData[[#This Row],[AMOUNT ]:[Misc.]])</f>
        <v>0</v>
      </c>
    </row>
    <row r="42" spans="2:11">
      <c r="B42" s="17"/>
      <c r="C42" s="11"/>
      <c r="D42" s="15"/>
      <c r="E42" s="15"/>
      <c r="F42" s="64"/>
      <c r="G42" s="16"/>
      <c r="H42" s="16"/>
      <c r="I42" s="16"/>
      <c r="J42" s="12"/>
      <c r="K42" s="12">
        <f>SUM(ExpenseData[[#This Row],[AMOUNT ]:[Misc.]])</f>
        <v>0</v>
      </c>
    </row>
    <row r="43" spans="2:11">
      <c r="B43" s="17"/>
      <c r="C43" s="11"/>
      <c r="D43" s="15"/>
      <c r="E43" s="15"/>
      <c r="F43" s="64"/>
      <c r="G43" s="16"/>
      <c r="H43" s="16"/>
      <c r="I43" s="16"/>
      <c r="J43" s="12"/>
      <c r="K43" s="12">
        <f>SUM(ExpenseData[[#This Row],[AMOUNT ]:[Misc.]])</f>
        <v>0</v>
      </c>
    </row>
    <row r="44" spans="2:11">
      <c r="B44" s="17"/>
      <c r="C44" s="11"/>
      <c r="D44" s="15"/>
      <c r="E44" s="15"/>
      <c r="F44" s="64"/>
      <c r="G44" s="16"/>
      <c r="H44" s="16"/>
      <c r="I44" s="16"/>
      <c r="J44" s="12"/>
      <c r="K44" s="12">
        <f>SUM(ExpenseData[[#This Row],[AMOUNT ]:[Misc.]])</f>
        <v>0</v>
      </c>
    </row>
    <row r="45" spans="2:11">
      <c r="B45" s="17"/>
      <c r="C45" s="11"/>
      <c r="D45" s="15"/>
      <c r="E45" s="15"/>
      <c r="F45" s="64"/>
      <c r="G45" s="16"/>
      <c r="H45" s="16"/>
      <c r="I45" s="16"/>
      <c r="J45" s="12"/>
      <c r="K45" s="12">
        <f>SUM(ExpenseData[[#This Row],[AMOUNT ]:[Misc.]])</f>
        <v>0</v>
      </c>
    </row>
    <row r="46" spans="2:11">
      <c r="B46" s="17"/>
      <c r="C46" s="11"/>
      <c r="D46" s="15"/>
      <c r="E46" s="15"/>
      <c r="F46" s="64"/>
      <c r="G46" s="16"/>
      <c r="H46" s="16"/>
      <c r="I46" s="16"/>
      <c r="J46" s="12"/>
      <c r="K46" s="12">
        <f>SUM(ExpenseData[[#This Row],[AMOUNT ]:[Misc.]])</f>
        <v>0</v>
      </c>
    </row>
    <row r="47" spans="2:11">
      <c r="B47" s="17"/>
      <c r="C47" s="11"/>
      <c r="D47" s="15"/>
      <c r="E47" s="15"/>
      <c r="F47" s="64"/>
      <c r="G47" s="16"/>
      <c r="H47" s="16"/>
      <c r="I47" s="16"/>
      <c r="J47" s="12"/>
      <c r="K47" s="12">
        <f>SUM(ExpenseData[[#This Row],[AMOUNT ]:[Misc.]])</f>
        <v>0</v>
      </c>
    </row>
    <row r="48" spans="2:11">
      <c r="B48" s="14"/>
      <c r="C48" s="18"/>
      <c r="D48" s="18"/>
      <c r="E48" s="18"/>
      <c r="F48" s="64" t="s">
        <v>31</v>
      </c>
      <c r="G48" s="12" t="s">
        <v>5</v>
      </c>
      <c r="H48" s="12" t="s">
        <v>5</v>
      </c>
      <c r="I48" s="12" t="s">
        <v>5</v>
      </c>
      <c r="J48" s="12" t="s">
        <v>5</v>
      </c>
      <c r="K48" s="12">
        <f>SUM(ExpenseData[[#This Row],[AMOUNT ]:[Misc.]])</f>
        <v>0</v>
      </c>
    </row>
    <row r="49" spans="2:11">
      <c r="B49" s="14"/>
      <c r="C49" s="18"/>
      <c r="D49" s="18"/>
      <c r="E49" s="18"/>
      <c r="F49" s="64" t="s">
        <v>5</v>
      </c>
      <c r="G49" s="12" t="s">
        <v>5</v>
      </c>
      <c r="H49" s="12" t="s">
        <v>5</v>
      </c>
      <c r="I49" s="12" t="s">
        <v>5</v>
      </c>
      <c r="J49" s="12" t="s">
        <v>5</v>
      </c>
      <c r="K49" s="12">
        <f>SUM(ExpenseData[[#This Row],[AMOUNT ]:[Misc.]])</f>
        <v>0</v>
      </c>
    </row>
    <row r="50" spans="2:11" ht="21.75" thickBot="1">
      <c r="B50" s="62" t="s">
        <v>30</v>
      </c>
      <c r="C50" s="62"/>
      <c r="D50" s="62"/>
      <c r="E50" s="62"/>
      <c r="F50" s="63">
        <f>SUBTOTAL(109,ExpenseData[[AMOUNT ]])</f>
        <v>36396</v>
      </c>
      <c r="G50" s="63">
        <f>SUBTOTAL(109,ExpenseData[[TRANSPORT ]])</f>
        <v>715</v>
      </c>
      <c r="H50" s="63">
        <f>SUBTOTAL(109,ExpenseData[Meals])</f>
        <v>0</v>
      </c>
      <c r="I50" s="63">
        <f>SUBTOTAL(109,ExpenseData[Phone])</f>
        <v>0</v>
      </c>
      <c r="J50" s="63">
        <f>SUBTOTAL(109,ExpenseData[Misc.])</f>
        <v>175</v>
      </c>
      <c r="K50" s="63">
        <f>SUBTOTAL(109,ExpenseData[Total])</f>
        <v>37286</v>
      </c>
    </row>
    <row r="51" spans="2:11" ht="21">
      <c r="C51" s="19"/>
      <c r="D51" s="19"/>
      <c r="E51" s="19"/>
      <c r="F51" s="19"/>
      <c r="G51" s="19"/>
      <c r="H51" s="19"/>
      <c r="I51" s="19"/>
      <c r="J51" s="20" t="s">
        <v>34</v>
      </c>
      <c r="K51" s="29">
        <f>ExpenseData[[#Totals],[Total]]</f>
        <v>37286</v>
      </c>
    </row>
    <row r="52" spans="2:11" ht="21.75" thickBot="1">
      <c r="B52" s="21" t="s">
        <v>5</v>
      </c>
      <c r="C52" s="76" t="s">
        <v>5</v>
      </c>
      <c r="D52" s="77"/>
      <c r="E52" s="22"/>
      <c r="F52" s="22"/>
      <c r="G52" s="23" t="s">
        <v>33</v>
      </c>
      <c r="H52" s="24" t="s">
        <v>5</v>
      </c>
      <c r="I52" s="25"/>
      <c r="J52" s="20"/>
      <c r="K52" s="26" t="s">
        <v>31</v>
      </c>
    </row>
    <row r="53" spans="2:11" ht="21.75" thickTop="1">
      <c r="C53" s="76" t="s">
        <v>5</v>
      </c>
      <c r="D53" s="77"/>
      <c r="E53" s="22"/>
      <c r="F53" s="22"/>
      <c r="H53" s="27" t="s">
        <v>5</v>
      </c>
      <c r="J53" s="20"/>
      <c r="K53" s="30"/>
    </row>
  </sheetData>
  <mergeCells count="2">
    <mergeCell ref="C52:D52"/>
    <mergeCell ref="C53:D53"/>
  </mergeCells>
  <dataValidations count="20">
    <dataValidation allowBlank="1" showInputMessage="1" showErrorMessage="1" prompt="Enter signature in this cell" sqref="C52:F53"/>
    <dataValidation allowBlank="1" showErrorMessage="1" prompt="Expense Report title is in this cell" sqref="B3"/>
    <dataValidation allowBlank="1" showInputMessage="1" showErrorMessage="1" prompt="Track expenses in this Expense Report worksheet. Enter values in various expense categories in cells B3 to K6 and in Expense Data table" sqref="A3"/>
    <dataValidation allowBlank="1" showErrorMessage="1" prompt="The report is for the office use only" sqref="K2"/>
    <dataValidation allowBlank="1" showInputMessage="1" showErrorMessage="1" prompt="Automatically calculated Total" sqref="K53"/>
    <dataValidation allowBlank="1" showInputMessage="1" showErrorMessage="1" prompt="Enter Advances in this cell" sqref="K52"/>
    <dataValidation allowBlank="1" showInputMessage="1" showErrorMessage="1" prompt="Automatically calculated Subtotal" sqref="K51"/>
    <dataValidation allowBlank="1" showInputMessage="1" showErrorMessage="1" prompt="Enter Notes in this cell" sqref="G52"/>
    <dataValidation allowBlank="1" showInputMessage="1" showErrorMessage="1" prompt="Enter remarks in cells at right" sqref="B52"/>
    <dataValidation allowBlank="1" showInputMessage="1" showErrorMessage="1" prompt="Total expenses are automatically calculated in this column under this heading for each date" sqref="K5"/>
    <dataValidation allowBlank="1" showInputMessage="1" showErrorMessage="1" prompt="Enter Miscellaneous expenses in this column under this heading" sqref="J5"/>
    <dataValidation allowBlank="1" showInputMessage="1" showErrorMessage="1" prompt="Enter Phone expenses in this column under this heading" sqref="I5"/>
    <dataValidation allowBlank="1" showInputMessage="1" showErrorMessage="1" prompt="Enter Meal expenses in this column under this heading" sqref="H5"/>
    <dataValidation allowBlank="1" showInputMessage="1" showErrorMessage="1" prompt="Enter Fuel expenses in this column under this heading" sqref="G5"/>
    <dataValidation allowBlank="1" showInputMessage="1" showErrorMessage="1" prompt="Enter Description in this column under this heading" sqref="D5:F5"/>
    <dataValidation allowBlank="1" showInputMessage="1" showErrorMessage="1" prompt="Enter Account in this column under this heading" sqref="C5"/>
    <dataValidation allowBlank="1" showInputMessage="1" showErrorMessage="1" prompt="Enter Date in this column under this heading" sqref="B5"/>
    <dataValidation allowBlank="1" showInputMessage="1" showErrorMessage="1" prompt="Expense Report title is in this cell" sqref="B2"/>
    <dataValidation allowBlank="1" showInputMessage="1" showErrorMessage="1" prompt="The report is for the office use only" sqref="K3"/>
    <dataValidation allowBlank="1" showInputMessage="1" showErrorMessage="1" prompt="Track expenses in this Expense Report worksheet. Enter values in various expense categories in cells B2 to K5 and in Expense Data table." sqref="A2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  <pageSetUpPr fitToPage="1"/>
  </sheetPr>
  <dimension ref="D1:I100"/>
  <sheetViews>
    <sheetView showGridLines="0" zoomScaleNormal="100" workbookViewId="0">
      <selection activeCell="E35" sqref="E35"/>
    </sheetView>
  </sheetViews>
  <sheetFormatPr defaultRowHeight="30" customHeight="1"/>
  <cols>
    <col min="1" max="2" width="9.140625" style="53"/>
    <col min="3" max="3" width="3" style="53" customWidth="1"/>
    <col min="4" max="4" width="19" style="53" customWidth="1"/>
    <col min="5" max="5" width="48.28515625" style="53" customWidth="1"/>
    <col min="6" max="7" width="19" style="53" customWidth="1"/>
    <col min="8" max="8" width="24.7109375" style="53" customWidth="1"/>
    <col min="9" max="9" width="3" style="53" customWidth="1"/>
    <col min="10" max="16384" width="9.140625" style="53"/>
  </cols>
  <sheetData>
    <row r="1" spans="4:9" ht="30" customHeight="1">
      <c r="D1" s="81" t="s">
        <v>59</v>
      </c>
      <c r="E1" s="81"/>
      <c r="F1" s="81"/>
      <c r="G1" s="81"/>
      <c r="H1" s="81"/>
      <c r="I1" s="81"/>
    </row>
    <row r="2" spans="4:9" ht="18" customHeight="1">
      <c r="D2" s="81"/>
      <c r="E2" s="81"/>
      <c r="F2" s="81"/>
      <c r="G2" s="81"/>
      <c r="H2" s="81"/>
      <c r="I2" s="81"/>
    </row>
    <row r="3" spans="4:9" ht="21">
      <c r="D3" s="78" t="s">
        <v>60</v>
      </c>
      <c r="E3" s="79"/>
      <c r="F3" s="79"/>
      <c r="G3" s="79"/>
      <c r="H3" s="79"/>
    </row>
    <row r="4" spans="4:9" ht="15" customHeight="1">
      <c r="D4" s="80" t="s">
        <v>5</v>
      </c>
      <c r="E4" s="80"/>
      <c r="F4" s="80"/>
      <c r="G4" s="80"/>
      <c r="H4" s="80"/>
    </row>
    <row r="5" spans="4:9" ht="30" customHeight="1">
      <c r="D5" s="80" t="s">
        <v>5</v>
      </c>
      <c r="E5" s="80"/>
      <c r="F5" s="80"/>
      <c r="G5" s="80"/>
      <c r="H5" s="80"/>
    </row>
    <row r="6" spans="4:9" ht="30" customHeight="1">
      <c r="D6" s="58" t="s">
        <v>58</v>
      </c>
      <c r="E6" s="58" t="s">
        <v>57</v>
      </c>
      <c r="F6" s="58" t="s">
        <v>61</v>
      </c>
      <c r="G6" s="58" t="s">
        <v>56</v>
      </c>
      <c r="H6" s="57" t="s">
        <v>55</v>
      </c>
    </row>
    <row r="7" spans="4:9" ht="30" customHeight="1">
      <c r="D7" s="55"/>
      <c r="E7" s="56" t="s">
        <v>54</v>
      </c>
      <c r="F7" s="60" t="s">
        <v>5</v>
      </c>
      <c r="G7" s="60">
        <v>20000</v>
      </c>
      <c r="H7" s="61">
        <v>20000</v>
      </c>
    </row>
    <row r="8" spans="4:9" ht="30" customHeight="1">
      <c r="D8" s="55">
        <v>46069</v>
      </c>
      <c r="E8" s="54" t="s">
        <v>65</v>
      </c>
      <c r="F8" s="60">
        <v>10030</v>
      </c>
      <c r="G8" s="60"/>
      <c r="H8" s="61">
        <f>PreviousBalance-Data[[#This Row],[DEBIT]]</f>
        <v>9970</v>
      </c>
    </row>
    <row r="9" spans="4:9" ht="30" customHeight="1">
      <c r="D9" s="55">
        <v>46069</v>
      </c>
      <c r="E9" s="54" t="s">
        <v>72</v>
      </c>
      <c r="F9" s="60">
        <v>50</v>
      </c>
      <c r="G9" s="60"/>
      <c r="H9" s="61">
        <f>H8-Data[[#This Row],[DEBIT]]</f>
        <v>9920</v>
      </c>
    </row>
    <row r="10" spans="4:9" ht="30" customHeight="1">
      <c r="D10" s="55">
        <v>46070</v>
      </c>
      <c r="E10" s="54" t="s">
        <v>64</v>
      </c>
      <c r="F10" s="60">
        <v>2080</v>
      </c>
      <c r="G10" s="60"/>
      <c r="H10" s="61">
        <f>H9-Data[[#This Row],[DEBIT]]</f>
        <v>7840</v>
      </c>
    </row>
    <row r="11" spans="4:9" ht="30" customHeight="1">
      <c r="D11" s="55">
        <v>46070</v>
      </c>
      <c r="E11" s="54" t="s">
        <v>73</v>
      </c>
      <c r="F11" s="60">
        <v>250</v>
      </c>
      <c r="G11" s="60"/>
      <c r="H11" s="61">
        <f>H10-Data[[#This Row],[DEBIT]]</f>
        <v>7590</v>
      </c>
    </row>
    <row r="12" spans="4:9" ht="30" customHeight="1">
      <c r="D12" s="55">
        <v>46070</v>
      </c>
      <c r="E12" s="54" t="s">
        <v>74</v>
      </c>
      <c r="F12" s="60">
        <v>200</v>
      </c>
      <c r="G12" s="60"/>
      <c r="H12" s="61">
        <f>H11-Data[[#This Row],[DEBIT]]</f>
        <v>7390</v>
      </c>
    </row>
    <row r="13" spans="4:9" ht="30" customHeight="1">
      <c r="D13" s="55">
        <v>46072</v>
      </c>
      <c r="E13" s="54" t="s">
        <v>64</v>
      </c>
      <c r="F13" s="60">
        <v>3240</v>
      </c>
      <c r="G13" s="60"/>
      <c r="H13" s="61">
        <f>H12-Data[[#This Row],[DEBIT]]</f>
        <v>4150</v>
      </c>
    </row>
    <row r="14" spans="4:9" ht="30" customHeight="1">
      <c r="D14" s="55">
        <v>46072</v>
      </c>
      <c r="E14" s="54" t="s">
        <v>44</v>
      </c>
      <c r="F14" s="60">
        <v>3569</v>
      </c>
      <c r="G14" s="60"/>
      <c r="H14" s="61">
        <f>H13-Data[[#This Row],[DEBIT]]</f>
        <v>581</v>
      </c>
    </row>
    <row r="15" spans="4:9" ht="30" customHeight="1">
      <c r="D15" s="55">
        <v>46072</v>
      </c>
      <c r="E15" s="54" t="s">
        <v>83</v>
      </c>
      <c r="F15" s="60">
        <v>220</v>
      </c>
      <c r="G15" s="60"/>
      <c r="H15" s="61">
        <f>H14-Data[[#This Row],[DEBIT]]</f>
        <v>361</v>
      </c>
    </row>
    <row r="16" spans="4:9" ht="30" customHeight="1">
      <c r="D16" s="55" t="s">
        <v>5</v>
      </c>
      <c r="E16" s="54" t="s">
        <v>5</v>
      </c>
      <c r="F16" s="60"/>
      <c r="G16" s="60"/>
      <c r="H16" s="61">
        <f>H15-Data[[#This Row],[DEBIT]]</f>
        <v>361</v>
      </c>
    </row>
    <row r="17" spans="4:8" ht="30" customHeight="1">
      <c r="D17" s="55"/>
      <c r="E17" s="54" t="s">
        <v>5</v>
      </c>
      <c r="F17" s="60"/>
      <c r="G17" s="60"/>
      <c r="H17" s="61">
        <f>H16-Data[[#This Row],[DEBIT]]</f>
        <v>361</v>
      </c>
    </row>
    <row r="18" spans="4:8" ht="30" customHeight="1">
      <c r="D18" s="55"/>
      <c r="E18" s="54" t="s">
        <v>5</v>
      </c>
      <c r="F18" s="60"/>
      <c r="G18" s="60"/>
      <c r="H18" s="61">
        <f>H17-Data[[#This Row],[DEBIT]]</f>
        <v>361</v>
      </c>
    </row>
    <row r="19" spans="4:8" ht="30" customHeight="1">
      <c r="D19" s="55"/>
      <c r="E19" s="54" t="s">
        <v>5</v>
      </c>
      <c r="F19" s="60"/>
      <c r="G19" s="60"/>
      <c r="H19" s="61">
        <f>H18-Data[[#This Row],[DEBIT]]</f>
        <v>361</v>
      </c>
    </row>
    <row r="20" spans="4:8" ht="30" customHeight="1">
      <c r="D20" s="55"/>
      <c r="E20" s="54" t="s">
        <v>5</v>
      </c>
      <c r="F20" s="60"/>
      <c r="G20" s="60"/>
      <c r="H20" s="61">
        <f>H19-Data[[#This Row],[DEBIT]]</f>
        <v>361</v>
      </c>
    </row>
    <row r="21" spans="4:8" ht="30" customHeight="1">
      <c r="D21" s="55"/>
      <c r="E21" s="54" t="s">
        <v>5</v>
      </c>
      <c r="F21" s="60"/>
      <c r="G21" s="60"/>
      <c r="H21" s="61">
        <f>H20-Data[[#This Row],[DEBIT]]</f>
        <v>361</v>
      </c>
    </row>
    <row r="22" spans="4:8" ht="30" customHeight="1">
      <c r="D22" s="55"/>
      <c r="E22" s="54" t="s">
        <v>5</v>
      </c>
      <c r="F22" s="60"/>
      <c r="G22" s="60"/>
      <c r="H22" s="61">
        <f>H21-Data[[#This Row],[DEBIT]]</f>
        <v>361</v>
      </c>
    </row>
    <row r="23" spans="4:8" ht="30" customHeight="1">
      <c r="D23" s="55"/>
      <c r="E23" s="54" t="s">
        <v>5</v>
      </c>
      <c r="F23" s="60"/>
      <c r="G23" s="60"/>
      <c r="H23" s="61">
        <f>H22-Data[[#This Row],[DEBIT]]</f>
        <v>361</v>
      </c>
    </row>
    <row r="24" spans="4:8" ht="30" customHeight="1">
      <c r="D24" s="55"/>
      <c r="E24" s="54" t="s">
        <v>5</v>
      </c>
      <c r="F24" s="60"/>
      <c r="G24" s="60"/>
      <c r="H24" s="61">
        <f>H23-Data[[#This Row],[DEBIT]]</f>
        <v>361</v>
      </c>
    </row>
    <row r="25" spans="4:8" ht="30" customHeight="1">
      <c r="D25" s="55"/>
      <c r="E25" s="54" t="s">
        <v>5</v>
      </c>
      <c r="F25" s="60"/>
      <c r="G25" s="60"/>
      <c r="H25" s="61">
        <f>H24-Data[[#This Row],[DEBIT]]</f>
        <v>361</v>
      </c>
    </row>
    <row r="26" spans="4:8" ht="30" customHeight="1">
      <c r="D26" s="55"/>
      <c r="E26" s="54" t="s">
        <v>5</v>
      </c>
      <c r="F26" s="60"/>
      <c r="G26" s="60"/>
      <c r="H26" s="61">
        <f>H25-Data[[#This Row],[DEBIT]]</f>
        <v>361</v>
      </c>
    </row>
    <row r="27" spans="4:8" ht="30" customHeight="1">
      <c r="D27" s="55"/>
      <c r="E27" s="54" t="s">
        <v>31</v>
      </c>
      <c r="F27" s="60"/>
      <c r="G27" s="60"/>
      <c r="H27" s="61">
        <f>H26-Data[[#This Row],[DEBIT]]</f>
        <v>361</v>
      </c>
    </row>
    <row r="28" spans="4:8" ht="30" customHeight="1">
      <c r="D28" s="55"/>
      <c r="E28" s="54" t="s">
        <v>5</v>
      </c>
      <c r="F28" s="60"/>
      <c r="G28" s="60"/>
      <c r="H28" s="61">
        <f>H27-Data[[#This Row],[DEBIT]]</f>
        <v>361</v>
      </c>
    </row>
    <row r="29" spans="4:8" ht="30" customHeight="1">
      <c r="D29" s="55"/>
      <c r="E29" s="54" t="s">
        <v>5</v>
      </c>
      <c r="F29" s="60"/>
      <c r="G29" s="60"/>
      <c r="H29" s="61">
        <f>H28-Data[[#This Row],[DEBIT]]</f>
        <v>361</v>
      </c>
    </row>
    <row r="30" spans="4:8" ht="30" customHeight="1">
      <c r="D30" s="55"/>
      <c r="E30" s="54" t="s">
        <v>5</v>
      </c>
      <c r="F30" s="60"/>
      <c r="G30" s="60"/>
      <c r="H30" s="61">
        <f>H29-Data[[#This Row],[DEBIT]]</f>
        <v>361</v>
      </c>
    </row>
    <row r="31" spans="4:8" ht="30" customHeight="1">
      <c r="D31" s="55"/>
      <c r="E31" s="54" t="s">
        <v>5</v>
      </c>
      <c r="F31" s="60"/>
      <c r="G31" s="60"/>
      <c r="H31" s="61">
        <f>H30-Data[[#This Row],[DEBIT]]</f>
        <v>361</v>
      </c>
    </row>
    <row r="32" spans="4:8" ht="30" customHeight="1">
      <c r="D32" s="55"/>
      <c r="E32" s="54" t="s">
        <v>5</v>
      </c>
      <c r="F32" s="60"/>
      <c r="G32" s="60"/>
      <c r="H32" s="61">
        <f>H31-Data[[#This Row],[DEBIT]]</f>
        <v>361</v>
      </c>
    </row>
    <row r="33" spans="4:8" ht="30" customHeight="1">
      <c r="D33" s="55"/>
      <c r="E33" s="54" t="s">
        <v>5</v>
      </c>
      <c r="F33" s="60"/>
      <c r="G33" s="60"/>
      <c r="H33" s="61">
        <f>H32-Data[[#This Row],[DEBIT]]</f>
        <v>361</v>
      </c>
    </row>
    <row r="34" spans="4:8" ht="30" customHeight="1">
      <c r="D34" s="55"/>
      <c r="E34" s="54" t="s">
        <v>5</v>
      </c>
      <c r="F34" s="60"/>
      <c r="G34" s="60"/>
      <c r="H34" s="61">
        <f>H33-Data[[#This Row],[DEBIT]]</f>
        <v>361</v>
      </c>
    </row>
    <row r="35" spans="4:8" ht="30" customHeight="1">
      <c r="D35" s="55"/>
      <c r="E35" s="54" t="s">
        <v>5</v>
      </c>
      <c r="F35" s="60"/>
      <c r="G35" s="60"/>
      <c r="H35" s="61">
        <f>H34-Data[[#This Row],[DEBIT]]</f>
        <v>361</v>
      </c>
    </row>
    <row r="36" spans="4:8" ht="30" customHeight="1">
      <c r="D36" s="55"/>
      <c r="E36" s="54" t="s">
        <v>5</v>
      </c>
      <c r="F36" s="60"/>
      <c r="G36" s="60"/>
      <c r="H36" s="61">
        <f>H35-Data[[#This Row],[DEBIT]]</f>
        <v>361</v>
      </c>
    </row>
    <row r="37" spans="4:8" ht="30" customHeight="1">
      <c r="D37" s="55"/>
      <c r="E37" s="54" t="s">
        <v>5</v>
      </c>
      <c r="F37" s="60"/>
      <c r="G37" s="60"/>
      <c r="H37" s="61">
        <f>H36-Data[[#This Row],[DEBIT]]</f>
        <v>361</v>
      </c>
    </row>
    <row r="38" spans="4:8" ht="30" customHeight="1">
      <c r="D38" s="55"/>
      <c r="E38" s="54" t="s">
        <v>31</v>
      </c>
      <c r="F38" s="60"/>
      <c r="G38" s="60"/>
      <c r="H38" s="61">
        <f>H37-Data[[#This Row],[DEBIT]]</f>
        <v>361</v>
      </c>
    </row>
    <row r="39" spans="4:8" ht="30" customHeight="1">
      <c r="D39" s="55"/>
      <c r="E39" s="54" t="s">
        <v>5</v>
      </c>
      <c r="F39" s="60"/>
      <c r="G39" s="60"/>
      <c r="H39" s="61">
        <f>H38-Data[[#This Row],[DEBIT]]</f>
        <v>361</v>
      </c>
    </row>
    <row r="40" spans="4:8" ht="30" customHeight="1">
      <c r="D40" s="55"/>
      <c r="E40" s="54" t="s">
        <v>5</v>
      </c>
      <c r="F40" s="60"/>
      <c r="G40" s="60"/>
      <c r="H40" s="61">
        <f>H39-Data[[#This Row],[DEBIT]]</f>
        <v>361</v>
      </c>
    </row>
    <row r="41" spans="4:8" ht="30" customHeight="1">
      <c r="D41" s="55"/>
      <c r="E41" s="54" t="s">
        <v>5</v>
      </c>
      <c r="F41" s="60"/>
      <c r="G41" s="60"/>
      <c r="H41" s="61">
        <f>H40-Data[[#This Row],[DEBIT]]</f>
        <v>361</v>
      </c>
    </row>
    <row r="42" spans="4:8" ht="30" customHeight="1">
      <c r="D42" s="55"/>
      <c r="E42" s="54" t="s">
        <v>5</v>
      </c>
      <c r="F42" s="60"/>
      <c r="G42" s="60"/>
      <c r="H42" s="61">
        <f>H41-Data[[#This Row],[DEBIT]]</f>
        <v>361</v>
      </c>
    </row>
    <row r="43" spans="4:8" ht="30" customHeight="1">
      <c r="D43" s="55"/>
      <c r="E43" s="54" t="s">
        <v>31</v>
      </c>
      <c r="F43" s="60"/>
      <c r="G43" s="60"/>
      <c r="H43" s="61">
        <f>H42-Data[[#This Row],[DEBIT]]</f>
        <v>361</v>
      </c>
    </row>
    <row r="44" spans="4:8" ht="30" customHeight="1">
      <c r="D44" s="55"/>
      <c r="E44" s="54" t="s">
        <v>5</v>
      </c>
      <c r="F44" s="60"/>
      <c r="G44" s="60"/>
      <c r="H44" s="61">
        <f>H43-Data[[#This Row],[DEBIT]]</f>
        <v>361</v>
      </c>
    </row>
    <row r="45" spans="4:8" ht="30" customHeight="1">
      <c r="D45" s="55"/>
      <c r="E45" s="54" t="s">
        <v>5</v>
      </c>
      <c r="F45" s="60"/>
      <c r="G45" s="60"/>
      <c r="H45" s="61">
        <f>H44-Data[[#This Row],[DEBIT]]</f>
        <v>361</v>
      </c>
    </row>
    <row r="46" spans="4:8" ht="30" customHeight="1">
      <c r="D46" s="55"/>
      <c r="E46" s="54" t="s">
        <v>5</v>
      </c>
      <c r="F46" s="60"/>
      <c r="G46" s="60"/>
      <c r="H46" s="61">
        <f>H45-Data[[#This Row],[DEBIT]]</f>
        <v>361</v>
      </c>
    </row>
    <row r="47" spans="4:8" ht="30" customHeight="1">
      <c r="D47" s="55"/>
      <c r="E47" s="54" t="s">
        <v>5</v>
      </c>
      <c r="F47" s="60"/>
      <c r="G47" s="60"/>
      <c r="H47" s="61">
        <f>H46-Data[[#This Row],[DEBIT]]</f>
        <v>361</v>
      </c>
    </row>
    <row r="48" spans="4:8" ht="30" customHeight="1">
      <c r="D48" s="55"/>
      <c r="E48" s="54" t="s">
        <v>31</v>
      </c>
      <c r="F48" s="60"/>
      <c r="G48" s="60"/>
      <c r="H48" s="61">
        <f>H47-Data[[#This Row],[DEBIT]]</f>
        <v>361</v>
      </c>
    </row>
    <row r="49" spans="4:8" ht="30" customHeight="1">
      <c r="D49" s="55"/>
      <c r="E49" s="54" t="s">
        <v>5</v>
      </c>
      <c r="F49" s="60"/>
      <c r="G49" s="60"/>
      <c r="H49" s="61">
        <f>H48-Data[[#This Row],[DEBIT]]</f>
        <v>361</v>
      </c>
    </row>
    <row r="50" spans="4:8" ht="30" customHeight="1">
      <c r="D50" s="55"/>
      <c r="E50" s="54" t="s">
        <v>5</v>
      </c>
      <c r="F50" s="60"/>
      <c r="G50" s="60"/>
      <c r="H50" s="61">
        <f>H49-Data[[#This Row],[DEBIT]]</f>
        <v>361</v>
      </c>
    </row>
    <row r="51" spans="4:8" ht="30" customHeight="1">
      <c r="D51" s="55"/>
      <c r="E51" s="54" t="s">
        <v>5</v>
      </c>
      <c r="F51" s="60"/>
      <c r="G51" s="60"/>
      <c r="H51" s="61">
        <f>H50-Data[[#This Row],[DEBIT]]</f>
        <v>361</v>
      </c>
    </row>
    <row r="52" spans="4:8" ht="30" customHeight="1">
      <c r="D52" s="55"/>
      <c r="E52" s="54" t="s">
        <v>5</v>
      </c>
      <c r="F52" s="60"/>
      <c r="G52" s="60"/>
      <c r="H52" s="61">
        <f>H51-Data[[#This Row],[DEBIT]]</f>
        <v>361</v>
      </c>
    </row>
    <row r="53" spans="4:8" ht="30" customHeight="1">
      <c r="D53" s="55"/>
      <c r="E53" s="54" t="s">
        <v>5</v>
      </c>
      <c r="F53" s="60"/>
      <c r="G53" s="60"/>
      <c r="H53" s="61">
        <f>H52-Data[[#This Row],[DEBIT]]</f>
        <v>361</v>
      </c>
    </row>
    <row r="54" spans="4:8" ht="30" customHeight="1">
      <c r="D54" s="59"/>
      <c r="E54" t="s">
        <v>5</v>
      </c>
      <c r="F54" s="60"/>
      <c r="G54" s="60"/>
      <c r="H54" s="61">
        <f>H53-Data[[#This Row],[DEBIT]]</f>
        <v>361</v>
      </c>
    </row>
    <row r="55" spans="4:8" ht="30" customHeight="1">
      <c r="D55" s="59"/>
      <c r="E55" t="s">
        <v>5</v>
      </c>
      <c r="F55" s="60"/>
      <c r="G55" s="60"/>
      <c r="H55" s="61">
        <f>H54-Data[[#This Row],[DEBIT]]</f>
        <v>361</v>
      </c>
    </row>
    <row r="56" spans="4:8" ht="30" customHeight="1">
      <c r="D56" s="59"/>
      <c r="E56" t="s">
        <v>5</v>
      </c>
      <c r="F56" s="60"/>
      <c r="G56" s="60"/>
      <c r="H56" s="61">
        <f>H55-Data[[#This Row],[DEBIT]]</f>
        <v>361</v>
      </c>
    </row>
    <row r="57" spans="4:8" ht="30" customHeight="1">
      <c r="D57" s="59"/>
      <c r="E57" t="s">
        <v>5</v>
      </c>
      <c r="F57" s="60"/>
      <c r="G57" s="60"/>
      <c r="H57" s="61">
        <f>H56-Data[[#This Row],[DEBIT]]</f>
        <v>361</v>
      </c>
    </row>
    <row r="58" spans="4:8" ht="30" customHeight="1">
      <c r="D58" s="59"/>
      <c r="E58" t="s">
        <v>5</v>
      </c>
      <c r="F58" s="60"/>
      <c r="G58" s="60"/>
      <c r="H58" s="61">
        <f>H57-Data[[#This Row],[DEBIT]]</f>
        <v>361</v>
      </c>
    </row>
    <row r="59" spans="4:8" ht="30" customHeight="1">
      <c r="D59" s="59"/>
      <c r="E59" t="s">
        <v>5</v>
      </c>
      <c r="F59" s="60"/>
      <c r="G59" s="60"/>
      <c r="H59" s="61">
        <f>H58-Data[[#This Row],[DEBIT]]</f>
        <v>361</v>
      </c>
    </row>
    <row r="60" spans="4:8" ht="30" customHeight="1">
      <c r="D60" s="59"/>
      <c r="E60" t="s">
        <v>5</v>
      </c>
      <c r="F60" s="60"/>
      <c r="G60" s="60"/>
      <c r="H60" s="61">
        <f>H59-Data[[#This Row],[DEBIT]]</f>
        <v>361</v>
      </c>
    </row>
    <row r="61" spans="4:8" ht="30" customHeight="1">
      <c r="D61" s="59"/>
      <c r="E61" t="s">
        <v>5</v>
      </c>
      <c r="F61" s="60"/>
      <c r="G61" s="60"/>
      <c r="H61" s="61">
        <f>H60-Data[[#This Row],[DEBIT]]</f>
        <v>361</v>
      </c>
    </row>
    <row r="62" spans="4:8" ht="30" customHeight="1">
      <c r="D62" s="59"/>
      <c r="E62" t="s">
        <v>5</v>
      </c>
      <c r="F62" s="60"/>
      <c r="G62" s="60"/>
      <c r="H62" s="61">
        <f>H61-Data[[#This Row],[DEBIT]]</f>
        <v>361</v>
      </c>
    </row>
    <row r="63" spans="4:8" ht="30" customHeight="1">
      <c r="D63" s="59"/>
      <c r="E63" t="s">
        <v>5</v>
      </c>
      <c r="F63" s="60"/>
      <c r="G63" s="60"/>
      <c r="H63" s="61">
        <f>H62-Data[[#This Row],[DEBIT]]</f>
        <v>361</v>
      </c>
    </row>
    <row r="64" spans="4:8" ht="30" customHeight="1">
      <c r="D64" s="59"/>
      <c r="E64" t="s">
        <v>5</v>
      </c>
      <c r="F64" s="60"/>
      <c r="G64" s="60"/>
      <c r="H64" s="61">
        <f>H63-Data[[#This Row],[DEBIT]]</f>
        <v>361</v>
      </c>
    </row>
    <row r="65" spans="4:8" ht="30" customHeight="1">
      <c r="D65" s="59"/>
      <c r="E65" t="s">
        <v>31</v>
      </c>
      <c r="F65" s="60"/>
      <c r="G65" s="60"/>
      <c r="H65" s="61">
        <f>H64-Data[[#This Row],[DEBIT]]</f>
        <v>361</v>
      </c>
    </row>
    <row r="66" spans="4:8" ht="30" customHeight="1">
      <c r="D66" s="59"/>
      <c r="E66" t="s">
        <v>5</v>
      </c>
      <c r="F66" s="60"/>
      <c r="G66" s="60"/>
      <c r="H66" s="61">
        <f>H65-Data[[#This Row],[DEBIT]]</f>
        <v>361</v>
      </c>
    </row>
    <row r="67" spans="4:8" ht="30" customHeight="1">
      <c r="D67" s="59"/>
      <c r="E67" t="s">
        <v>5</v>
      </c>
      <c r="F67" s="60"/>
      <c r="G67" s="60"/>
      <c r="H67" s="61">
        <f>H66-Data[[#This Row],[DEBIT]]</f>
        <v>361</v>
      </c>
    </row>
    <row r="68" spans="4:8" ht="30" customHeight="1">
      <c r="D68" s="59"/>
      <c r="E68" t="s">
        <v>5</v>
      </c>
      <c r="F68" s="60"/>
      <c r="G68" s="60"/>
      <c r="H68" s="61">
        <f>H67-Data[[#This Row],[DEBIT]]</f>
        <v>361</v>
      </c>
    </row>
    <row r="69" spans="4:8" ht="30" customHeight="1">
      <c r="D69" s="59"/>
      <c r="E69" t="s">
        <v>5</v>
      </c>
      <c r="F69" s="60"/>
      <c r="G69" s="60"/>
      <c r="H69" s="61">
        <f>H68-Data[[#This Row],[DEBIT]]</f>
        <v>361</v>
      </c>
    </row>
    <row r="70" spans="4:8" ht="30" customHeight="1">
      <c r="D70" s="59"/>
      <c r="E70" t="s">
        <v>5</v>
      </c>
      <c r="F70" s="60"/>
      <c r="G70" s="60"/>
      <c r="H70" s="61">
        <f>H69-Data[[#This Row],[DEBIT]]</f>
        <v>361</v>
      </c>
    </row>
    <row r="71" spans="4:8" ht="30" customHeight="1">
      <c r="D71" s="59"/>
      <c r="E71" t="s">
        <v>5</v>
      </c>
      <c r="F71" s="60"/>
      <c r="G71" s="60"/>
      <c r="H71" s="61">
        <f>H70-Data[[#This Row],[DEBIT]]</f>
        <v>361</v>
      </c>
    </row>
    <row r="72" spans="4:8" ht="30" customHeight="1">
      <c r="D72" s="59"/>
      <c r="E72" t="s">
        <v>5</v>
      </c>
      <c r="F72" s="60"/>
      <c r="G72" s="60"/>
      <c r="H72" s="61">
        <f>H71-Data[[#This Row],[DEBIT]]</f>
        <v>361</v>
      </c>
    </row>
    <row r="73" spans="4:8" ht="30" customHeight="1">
      <c r="D73" s="59"/>
      <c r="E73" t="s">
        <v>5</v>
      </c>
      <c r="F73" s="60"/>
      <c r="G73" s="60"/>
      <c r="H73" s="61">
        <f>H72-Data[[#This Row],[DEBIT]]</f>
        <v>361</v>
      </c>
    </row>
    <row r="74" spans="4:8" ht="30" customHeight="1">
      <c r="D74" s="59"/>
      <c r="E74" t="s">
        <v>31</v>
      </c>
      <c r="F74" s="60"/>
      <c r="G74" s="60"/>
      <c r="H74" s="61">
        <f>H73-Data[[#This Row],[DEBIT]]</f>
        <v>361</v>
      </c>
    </row>
    <row r="75" spans="4:8" ht="30" customHeight="1">
      <c r="D75" s="59"/>
      <c r="E75" t="s">
        <v>5</v>
      </c>
      <c r="F75" s="60"/>
      <c r="G75" s="60"/>
      <c r="H75" s="61">
        <f>H74-Data[[#This Row],[DEBIT]]</f>
        <v>361</v>
      </c>
    </row>
    <row r="76" spans="4:8" ht="30" customHeight="1">
      <c r="D76" s="59"/>
      <c r="E76" t="s">
        <v>5</v>
      </c>
      <c r="F76" s="60"/>
      <c r="G76" s="60"/>
      <c r="H76" s="61">
        <f>H75-Data[[#This Row],[DEBIT]]</f>
        <v>361</v>
      </c>
    </row>
    <row r="77" spans="4:8" ht="30" customHeight="1">
      <c r="D77" s="59"/>
      <c r="E77" t="s">
        <v>5</v>
      </c>
      <c r="F77" s="60"/>
      <c r="G77" s="60"/>
      <c r="H77" s="61">
        <f>H76-Data[[#This Row],[DEBIT]]</f>
        <v>361</v>
      </c>
    </row>
    <row r="78" spans="4:8" ht="30" customHeight="1">
      <c r="D78" s="59"/>
      <c r="E78" t="s">
        <v>5</v>
      </c>
      <c r="F78" s="60"/>
      <c r="G78" s="60"/>
      <c r="H78" s="61">
        <f>H77-Data[[#This Row],[DEBIT]]</f>
        <v>361</v>
      </c>
    </row>
    <row r="79" spans="4:8" ht="30" customHeight="1">
      <c r="D79" s="59"/>
      <c r="E79" t="s">
        <v>5</v>
      </c>
      <c r="F79" s="60"/>
      <c r="G79" s="60"/>
      <c r="H79" s="61">
        <f>H78-Data[[#This Row],[DEBIT]]</f>
        <v>361</v>
      </c>
    </row>
    <row r="80" spans="4:8" ht="30" customHeight="1">
      <c r="D80" s="59"/>
      <c r="E80" t="s">
        <v>5</v>
      </c>
      <c r="F80" s="60"/>
      <c r="G80" s="60"/>
      <c r="H80" s="61">
        <f>H79-Data[[#This Row],[DEBIT]]</f>
        <v>361</v>
      </c>
    </row>
    <row r="81" spans="4:8" ht="30" customHeight="1">
      <c r="D81" s="59"/>
      <c r="E81" t="s">
        <v>5</v>
      </c>
      <c r="F81" s="60"/>
      <c r="G81" s="60"/>
      <c r="H81" s="61">
        <f>H80-Data[[#This Row],[DEBIT]]</f>
        <v>361</v>
      </c>
    </row>
    <row r="82" spans="4:8" ht="30" customHeight="1">
      <c r="D82" s="59"/>
      <c r="E82" t="s">
        <v>5</v>
      </c>
      <c r="F82" s="60"/>
      <c r="G82" s="60"/>
      <c r="H82" s="61">
        <f>H81-Data[[#This Row],[DEBIT]]</f>
        <v>361</v>
      </c>
    </row>
    <row r="83" spans="4:8" ht="30" customHeight="1">
      <c r="D83" s="59"/>
      <c r="E83" t="s">
        <v>5</v>
      </c>
      <c r="F83" s="60"/>
      <c r="G83" s="60"/>
      <c r="H83" s="61">
        <f>H82-Data[[#This Row],[DEBIT]]</f>
        <v>361</v>
      </c>
    </row>
    <row r="84" spans="4:8" ht="30" customHeight="1">
      <c r="D84" s="59"/>
      <c r="E84" t="s">
        <v>5</v>
      </c>
      <c r="F84" s="60"/>
      <c r="G84" s="60"/>
      <c r="H84" s="61">
        <f>H83-Data[[#This Row],[DEBIT]]</f>
        <v>361</v>
      </c>
    </row>
    <row r="85" spans="4:8" ht="30" customHeight="1">
      <c r="D85" s="59"/>
      <c r="E85" t="s">
        <v>5</v>
      </c>
      <c r="F85" s="60"/>
      <c r="G85" s="60"/>
      <c r="H85" s="61">
        <f>H84-Data[[#This Row],[DEBIT]]</f>
        <v>361</v>
      </c>
    </row>
    <row r="86" spans="4:8" ht="30" customHeight="1">
      <c r="D86" s="59"/>
      <c r="E86" t="s">
        <v>5</v>
      </c>
      <c r="F86" s="60"/>
      <c r="G86" s="60"/>
      <c r="H86" s="61">
        <f>H85-Data[[#This Row],[DEBIT]]</f>
        <v>361</v>
      </c>
    </row>
    <row r="87" spans="4:8" ht="30" customHeight="1">
      <c r="D87" s="59"/>
      <c r="E87" t="s">
        <v>5</v>
      </c>
      <c r="F87" s="60"/>
      <c r="G87" s="60"/>
      <c r="H87" s="61">
        <f>H86-Data[[#This Row],[DEBIT]]</f>
        <v>361</v>
      </c>
    </row>
    <row r="88" spans="4:8" ht="30" customHeight="1">
      <c r="D88" s="59"/>
      <c r="E88" t="s">
        <v>5</v>
      </c>
      <c r="F88" s="60"/>
      <c r="G88" s="60"/>
      <c r="H88" s="61">
        <f>H87-Data[[#This Row],[DEBIT]]</f>
        <v>361</v>
      </c>
    </row>
    <row r="89" spans="4:8" ht="30" customHeight="1">
      <c r="D89" s="59"/>
      <c r="E89" t="s">
        <v>5</v>
      </c>
      <c r="F89" s="60"/>
      <c r="G89" s="60"/>
      <c r="H89" s="61">
        <f>H88-Data[[#This Row],[DEBIT]]</f>
        <v>361</v>
      </c>
    </row>
    <row r="90" spans="4:8" ht="30" customHeight="1">
      <c r="D90" s="59"/>
      <c r="E90" t="s">
        <v>5</v>
      </c>
      <c r="F90" s="60"/>
      <c r="G90" s="60"/>
      <c r="H90" s="61">
        <f>H89-Data[[#This Row],[DEBIT]]</f>
        <v>361</v>
      </c>
    </row>
    <row r="91" spans="4:8" ht="30" customHeight="1">
      <c r="D91" s="59"/>
      <c r="E91" t="s">
        <v>5</v>
      </c>
      <c r="F91" s="60"/>
      <c r="G91" s="60"/>
      <c r="H91" s="61">
        <f>H90-Data[[#This Row],[DEBIT]]</f>
        <v>361</v>
      </c>
    </row>
    <row r="92" spans="4:8" ht="30" customHeight="1">
      <c r="D92" s="59"/>
      <c r="E92" t="s">
        <v>5</v>
      </c>
      <c r="F92" s="60"/>
      <c r="G92" s="60"/>
      <c r="H92" s="61">
        <f>H91-Data[[#This Row],[DEBIT]]</f>
        <v>361</v>
      </c>
    </row>
    <row r="93" spans="4:8" ht="30" customHeight="1">
      <c r="D93" s="59"/>
      <c r="E93" t="s">
        <v>5</v>
      </c>
      <c r="F93" s="60"/>
      <c r="G93" s="60"/>
      <c r="H93" s="61">
        <f>H92-Data[[#This Row],[DEBIT]]</f>
        <v>361</v>
      </c>
    </row>
    <row r="94" spans="4:8" ht="30" customHeight="1">
      <c r="D94" s="59"/>
      <c r="E94" t="s">
        <v>5</v>
      </c>
      <c r="F94" s="60"/>
      <c r="G94" s="60"/>
      <c r="H94" s="61">
        <f>H93-Data[[#This Row],[DEBIT]]</f>
        <v>361</v>
      </c>
    </row>
    <row r="95" spans="4:8" ht="30" customHeight="1">
      <c r="D95" s="59"/>
      <c r="E95" t="s">
        <v>5</v>
      </c>
      <c r="F95" s="60"/>
      <c r="G95" s="60"/>
      <c r="H95" s="61">
        <f>H94-Data[[#This Row],[DEBIT]]</f>
        <v>361</v>
      </c>
    </row>
    <row r="97" spans="5:5" ht="30" customHeight="1">
      <c r="E97" s="53" t="s">
        <v>5</v>
      </c>
    </row>
    <row r="98" spans="5:5" ht="30" customHeight="1">
      <c r="E98" s="53" t="s">
        <v>31</v>
      </c>
    </row>
    <row r="99" spans="5:5" ht="30" customHeight="1">
      <c r="E99" s="53" t="s">
        <v>5</v>
      </c>
    </row>
    <row r="100" spans="5:5" ht="30" customHeight="1">
      <c r="E100" s="53" t="s">
        <v>5</v>
      </c>
    </row>
  </sheetData>
  <dataConsolidate/>
  <mergeCells count="4">
    <mergeCell ref="D3:H3"/>
    <mergeCell ref="D4:H4"/>
    <mergeCell ref="D5:H5"/>
    <mergeCell ref="D1:I2"/>
  </mergeCells>
  <conditionalFormatting sqref="H7:H95">
    <cfRule type="cellIs" priority="1" stopIfTrue="1" operator="equal">
      <formula>"#VALUE"</formula>
    </cfRule>
  </conditionalFormatting>
  <dataValidations count="10">
    <dataValidation allowBlank="1" showInputMessage="1" showErrorMessage="1" prompt="Create Statement of Account in this worksheet. Enter Statement &amp; Due Date in cells F1 &amp; F2, and company details in cells at right. Account Balance is automatically calculated" sqref="C1"/>
    <dataValidation allowBlank="1" showInputMessage="1" showErrorMessage="1" prompt="Account Balance is automatically calculated in this column under this heading" sqref="H6"/>
    <dataValidation allowBlank="1" showInputMessage="1" showErrorMessage="1" prompt="Enter Credits in this column under this heading" sqref="G6"/>
    <dataValidation allowBlank="1" showInputMessage="1" showErrorMessage="1" prompt="Enter Charges in this column under this heading" sqref="F6"/>
    <dataValidation allowBlank="1" showInputMessage="1" showErrorMessage="1" prompt="Enter Description in this column under this heading" sqref="E6"/>
    <dataValidation allowBlank="1" showInputMessage="1" showErrorMessage="1" prompt="Enter Date in this column under this heading. Use heading filters to find specific entries" sqref="D6"/>
    <dataValidation allowBlank="1" showInputMessage="1" showErrorMessage="1" prompt="Enter customer City, State, and Zip Code in this cell, and bill details in table below" sqref="D5:H5"/>
    <dataValidation allowBlank="1" showInputMessage="1" showErrorMessage="1" prompt="Enter customer Address in this cell" sqref="D4:H4"/>
    <dataValidation allowBlank="1" showInputMessage="1" showErrorMessage="1" prompt="Enter Customer Name in this cell" sqref="D3:H3"/>
    <dataValidation allowBlank="1" showInputMessage="1" showErrorMessage="1" prompt="Enter Company Name in this cell" sqref="D1"/>
  </dataValidations>
  <printOptions horizontalCentered="1"/>
  <pageMargins left="0.5" right="0.5" top="0.5" bottom="0.5" header="0.5" footer="0.5"/>
  <pageSetup scale="84" fitToHeight="0" orientation="portrait" r:id="rId1"/>
  <headerFooter differentFirst="1">
    <oddFooter>Page &amp;P of &amp;N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99B2"/>
  </sheetPr>
  <dimension ref="A1:G32"/>
  <sheetViews>
    <sheetView tabSelected="1" zoomScale="130" zoomScaleNormal="130" workbookViewId="0">
      <selection activeCell="A24" sqref="A24"/>
    </sheetView>
  </sheetViews>
  <sheetFormatPr defaultRowHeight="15"/>
  <cols>
    <col min="1" max="1" width="33.7109375" bestFit="1" customWidth="1"/>
    <col min="2" max="2" width="24.7109375" customWidth="1"/>
    <col min="3" max="5" width="6.28515625" bestFit="1" customWidth="1"/>
    <col min="6" max="6" width="7.42578125" bestFit="1" customWidth="1"/>
    <col min="7" max="7" width="10.42578125" bestFit="1" customWidth="1"/>
  </cols>
  <sheetData>
    <row r="1" spans="1:7" ht="46.5">
      <c r="A1" s="84" t="s">
        <v>139</v>
      </c>
    </row>
    <row r="6" spans="1:7">
      <c r="A6" t="s">
        <v>5</v>
      </c>
      <c r="B6" s="88" t="s">
        <v>140</v>
      </c>
      <c r="C6" s="89" t="s">
        <v>141</v>
      </c>
      <c r="D6" s="89"/>
      <c r="E6" s="89"/>
      <c r="F6" s="89"/>
      <c r="G6" s="89" t="s">
        <v>144</v>
      </c>
    </row>
    <row r="7" spans="1:7">
      <c r="B7" s="88"/>
      <c r="C7" s="90" t="s">
        <v>159</v>
      </c>
      <c r="D7" s="90" t="s">
        <v>143</v>
      </c>
      <c r="E7" s="90" t="s">
        <v>142</v>
      </c>
      <c r="F7" s="90" t="s">
        <v>160</v>
      </c>
      <c r="G7" s="89"/>
    </row>
    <row r="8" spans="1:7">
      <c r="B8" s="85"/>
      <c r="C8" s="85"/>
      <c r="D8" s="85"/>
      <c r="E8" s="85"/>
      <c r="F8" s="85"/>
      <c r="G8" s="85"/>
    </row>
    <row r="9" spans="1:7">
      <c r="B9" s="85" t="s">
        <v>124</v>
      </c>
      <c r="C9" s="85">
        <v>1</v>
      </c>
      <c r="D9" s="85">
        <v>0</v>
      </c>
      <c r="E9" s="85">
        <v>1</v>
      </c>
      <c r="F9" s="85">
        <v>1</v>
      </c>
      <c r="G9" s="91">
        <f>C9+D9+E9+F9</f>
        <v>3</v>
      </c>
    </row>
    <row r="10" spans="1:7">
      <c r="B10" s="85" t="s">
        <v>11</v>
      </c>
      <c r="C10" s="85">
        <v>0</v>
      </c>
      <c r="D10" s="85">
        <v>1</v>
      </c>
      <c r="E10" s="85">
        <v>1</v>
      </c>
      <c r="F10" s="85">
        <v>1</v>
      </c>
      <c r="G10" s="91">
        <f t="shared" ref="G10:G30" si="0">C10+D10+E10+F10</f>
        <v>3</v>
      </c>
    </row>
    <row r="11" spans="1:7">
      <c r="B11" s="85" t="s">
        <v>145</v>
      </c>
      <c r="C11" s="85">
        <v>4</v>
      </c>
      <c r="D11" s="85">
        <v>0</v>
      </c>
      <c r="E11" s="85">
        <v>2</v>
      </c>
      <c r="F11" s="85">
        <v>0</v>
      </c>
      <c r="G11" s="91">
        <f t="shared" si="0"/>
        <v>6</v>
      </c>
    </row>
    <row r="12" spans="1:7">
      <c r="B12" s="85" t="s">
        <v>146</v>
      </c>
      <c r="C12" s="85">
        <v>2</v>
      </c>
      <c r="D12" s="85">
        <v>2</v>
      </c>
      <c r="E12" s="85">
        <v>1</v>
      </c>
      <c r="F12" s="85">
        <v>0</v>
      </c>
      <c r="G12" s="91">
        <f t="shared" si="0"/>
        <v>5</v>
      </c>
    </row>
    <row r="13" spans="1:7">
      <c r="B13" s="85" t="s">
        <v>161</v>
      </c>
      <c r="C13" s="85">
        <v>2</v>
      </c>
      <c r="D13" s="85">
        <v>0</v>
      </c>
      <c r="E13" s="85">
        <v>2</v>
      </c>
      <c r="F13" s="85">
        <v>1</v>
      </c>
      <c r="G13" s="91">
        <f t="shared" si="0"/>
        <v>5</v>
      </c>
    </row>
    <row r="14" spans="1:7">
      <c r="B14" s="85" t="s">
        <v>162</v>
      </c>
      <c r="C14" s="85">
        <v>2</v>
      </c>
      <c r="D14" s="85">
        <v>0</v>
      </c>
      <c r="E14" s="85">
        <v>1</v>
      </c>
      <c r="F14" s="85">
        <v>0</v>
      </c>
      <c r="G14" s="91">
        <f t="shared" si="0"/>
        <v>3</v>
      </c>
    </row>
    <row r="15" spans="1:7">
      <c r="B15" s="85" t="s">
        <v>147</v>
      </c>
      <c r="C15" s="85">
        <v>6</v>
      </c>
      <c r="D15" s="85">
        <v>0</v>
      </c>
      <c r="E15" s="85">
        <v>3</v>
      </c>
      <c r="F15" s="85">
        <v>0</v>
      </c>
      <c r="G15" s="91">
        <f t="shared" si="0"/>
        <v>9</v>
      </c>
    </row>
    <row r="16" spans="1:7">
      <c r="B16" s="85" t="s">
        <v>122</v>
      </c>
      <c r="C16" s="85">
        <v>1</v>
      </c>
      <c r="D16" s="85">
        <v>0</v>
      </c>
      <c r="E16" s="85">
        <v>0</v>
      </c>
      <c r="F16" s="85">
        <v>1</v>
      </c>
      <c r="G16" s="91">
        <f t="shared" si="0"/>
        <v>2</v>
      </c>
    </row>
    <row r="17" spans="2:7">
      <c r="B17" s="85" t="s">
        <v>148</v>
      </c>
      <c r="C17" s="85">
        <v>1</v>
      </c>
      <c r="D17" s="85">
        <v>0</v>
      </c>
      <c r="E17" s="85">
        <v>1</v>
      </c>
      <c r="F17" s="85">
        <v>1</v>
      </c>
      <c r="G17" s="91">
        <f t="shared" si="0"/>
        <v>3</v>
      </c>
    </row>
    <row r="18" spans="2:7">
      <c r="B18" s="85" t="s">
        <v>149</v>
      </c>
      <c r="C18" s="85">
        <v>4</v>
      </c>
      <c r="D18" s="85">
        <v>1</v>
      </c>
      <c r="E18" s="85">
        <v>1</v>
      </c>
      <c r="F18" s="85">
        <v>0</v>
      </c>
      <c r="G18" s="91">
        <f t="shared" si="0"/>
        <v>6</v>
      </c>
    </row>
    <row r="19" spans="2:7">
      <c r="B19" s="85" t="s">
        <v>95</v>
      </c>
      <c r="C19" s="85">
        <v>2</v>
      </c>
      <c r="D19" s="85">
        <v>0</v>
      </c>
      <c r="E19" s="85">
        <v>1</v>
      </c>
      <c r="F19" s="85">
        <v>1</v>
      </c>
      <c r="G19" s="91">
        <f t="shared" si="0"/>
        <v>4</v>
      </c>
    </row>
    <row r="20" spans="2:7">
      <c r="B20" s="85" t="s">
        <v>150</v>
      </c>
      <c r="C20" s="85">
        <v>2</v>
      </c>
      <c r="D20" s="85">
        <v>0</v>
      </c>
      <c r="E20" s="85">
        <v>2</v>
      </c>
      <c r="F20" s="85">
        <v>0</v>
      </c>
      <c r="G20" s="91">
        <f t="shared" si="0"/>
        <v>4</v>
      </c>
    </row>
    <row r="21" spans="2:7">
      <c r="B21" s="85" t="s">
        <v>151</v>
      </c>
      <c r="C21" s="85">
        <v>2</v>
      </c>
      <c r="D21" s="85">
        <v>2</v>
      </c>
      <c r="E21" s="85">
        <v>2</v>
      </c>
      <c r="F21" s="85">
        <v>0</v>
      </c>
      <c r="G21" s="91">
        <f t="shared" si="0"/>
        <v>6</v>
      </c>
    </row>
    <row r="22" spans="2:7">
      <c r="B22" s="85" t="s">
        <v>138</v>
      </c>
      <c r="C22" s="85">
        <v>2</v>
      </c>
      <c r="D22" s="85">
        <v>1</v>
      </c>
      <c r="E22" s="85">
        <v>1</v>
      </c>
      <c r="F22" s="85">
        <v>0</v>
      </c>
      <c r="G22" s="91">
        <f t="shared" si="0"/>
        <v>4</v>
      </c>
    </row>
    <row r="23" spans="2:7">
      <c r="B23" s="85" t="s">
        <v>152</v>
      </c>
      <c r="C23" s="85">
        <v>3</v>
      </c>
      <c r="D23" s="85">
        <v>1</v>
      </c>
      <c r="E23" s="85">
        <v>3</v>
      </c>
      <c r="F23" s="85">
        <v>1</v>
      </c>
      <c r="G23" s="91">
        <f t="shared" si="0"/>
        <v>8</v>
      </c>
    </row>
    <row r="24" spans="2:7">
      <c r="B24" s="85" t="s">
        <v>153</v>
      </c>
      <c r="C24" s="85">
        <v>1</v>
      </c>
      <c r="D24" s="85">
        <v>1</v>
      </c>
      <c r="E24" s="85">
        <v>1</v>
      </c>
      <c r="F24" s="85">
        <v>1</v>
      </c>
      <c r="G24" s="91">
        <f t="shared" si="0"/>
        <v>4</v>
      </c>
    </row>
    <row r="25" spans="2:7">
      <c r="B25" s="85" t="s">
        <v>154</v>
      </c>
      <c r="C25" s="85">
        <v>0</v>
      </c>
      <c r="D25" s="85">
        <v>0</v>
      </c>
      <c r="E25" s="85">
        <v>0</v>
      </c>
      <c r="F25" s="85">
        <v>1</v>
      </c>
      <c r="G25" s="91">
        <f t="shared" si="0"/>
        <v>1</v>
      </c>
    </row>
    <row r="26" spans="2:7">
      <c r="B26" s="85" t="s">
        <v>51</v>
      </c>
      <c r="C26" s="85">
        <v>0</v>
      </c>
      <c r="D26" s="85">
        <v>0</v>
      </c>
      <c r="E26" s="85">
        <v>0</v>
      </c>
      <c r="F26" s="85">
        <v>1</v>
      </c>
      <c r="G26" s="91">
        <f t="shared" si="0"/>
        <v>1</v>
      </c>
    </row>
    <row r="27" spans="2:7">
      <c r="B27" s="85" t="s">
        <v>155</v>
      </c>
      <c r="C27" s="85">
        <v>4</v>
      </c>
      <c r="D27" s="85">
        <v>0</v>
      </c>
      <c r="E27" s="85">
        <v>2</v>
      </c>
      <c r="F27" s="85">
        <v>1</v>
      </c>
      <c r="G27" s="91">
        <f t="shared" si="0"/>
        <v>7</v>
      </c>
    </row>
    <row r="28" spans="2:7">
      <c r="B28" s="85" t="s">
        <v>156</v>
      </c>
      <c r="C28" s="85">
        <v>2</v>
      </c>
      <c r="D28" s="85">
        <v>2</v>
      </c>
      <c r="E28" s="85">
        <v>1</v>
      </c>
      <c r="F28" s="85">
        <v>1</v>
      </c>
      <c r="G28" s="91">
        <f t="shared" si="0"/>
        <v>6</v>
      </c>
    </row>
    <row r="29" spans="2:7">
      <c r="B29" s="85" t="s">
        <v>157</v>
      </c>
      <c r="C29" s="85">
        <v>0</v>
      </c>
      <c r="D29" s="85">
        <v>0</v>
      </c>
      <c r="E29" s="85">
        <v>0</v>
      </c>
      <c r="F29" s="85">
        <v>1</v>
      </c>
      <c r="G29" s="91">
        <f t="shared" si="0"/>
        <v>1</v>
      </c>
    </row>
    <row r="30" spans="2:7">
      <c r="B30" s="86" t="s">
        <v>158</v>
      </c>
      <c r="C30" s="86">
        <v>2</v>
      </c>
      <c r="D30" s="86">
        <v>2</v>
      </c>
      <c r="E30" s="86">
        <v>0</v>
      </c>
      <c r="F30" s="86">
        <v>0</v>
      </c>
      <c r="G30" s="92">
        <f t="shared" si="0"/>
        <v>4</v>
      </c>
    </row>
    <row r="31" spans="2:7">
      <c r="B31" s="85"/>
      <c r="C31" s="85"/>
      <c r="D31" s="85"/>
      <c r="E31" s="85"/>
      <c r="F31" s="85"/>
      <c r="G31" s="85"/>
    </row>
    <row r="32" spans="2:7">
      <c r="B32" s="87" t="s">
        <v>34</v>
      </c>
      <c r="C32" s="87">
        <f>SUM(C9:C30)</f>
        <v>43</v>
      </c>
      <c r="D32" s="87">
        <f t="shared" ref="D32:F32" si="1">SUM(D9:D30)</f>
        <v>13</v>
      </c>
      <c r="E32" s="87">
        <f t="shared" si="1"/>
        <v>26</v>
      </c>
      <c r="F32" s="87">
        <f t="shared" si="1"/>
        <v>13</v>
      </c>
      <c r="G32" s="87">
        <f>SUM(G9:G30)</f>
        <v>95</v>
      </c>
    </row>
  </sheetData>
  <mergeCells count="3">
    <mergeCell ref="C6:F6"/>
    <mergeCell ref="B6:B7"/>
    <mergeCell ref="G6:G7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  <Status xmlns="71af3243-3dd4-4a8d-8c0d-dd76da1f02a5">Not started</Statu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2" ma:contentTypeDescription="Create a new document." ma:contentTypeScope="" ma:versionID="a754d229f0057affa62b555f2ac55d44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c067517bd06b16cb9c9e315ad40fb255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Status" ma:index="19" nillable="true" ma:displayName="Status" ma:default="Not started" ma:format="Dropdown" ma:internalName="Status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8E6A8D-8506-4921-9AAC-35C577A39F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3A445B-6F4E-403F-A36E-68D87D4B8C1F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16c05727-aa75-4e4a-9b5f-8a80a1165891"/>
    <ds:schemaRef ds:uri="http://purl.org/dc/dcmitype/"/>
    <ds:schemaRef ds:uri="http://schemas.microsoft.com/office/infopath/2007/PartnerControls"/>
    <ds:schemaRef ds:uri="71af3243-3dd4-4a8d-8c0d-dd76da1f02a5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9F30CEA-6D05-4B1D-8ED8-16A4798C43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SALES</vt:lpstr>
      <vt:lpstr>BALANCE</vt:lpstr>
      <vt:lpstr>Statement of Account</vt:lpstr>
      <vt:lpstr>STOCK REPORT </vt:lpstr>
      <vt:lpstr>Advances</vt:lpstr>
      <vt:lpstr>ColumnTitle1</vt:lpstr>
      <vt:lpstr>Invoice_No</vt:lpstr>
      <vt:lpstr>PreviousBalance</vt:lpstr>
      <vt:lpstr>SALES!Print_Titles</vt:lpstr>
      <vt:lpstr>'Statement of Account'!Print_Titles</vt:lpstr>
      <vt:lpstr>RowTitleRegion1..F2</vt:lpstr>
      <vt:lpstr>Subtotal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2019-07-08T21:21:18Z</dcterms:created>
  <dcterms:modified xsi:type="dcterms:W3CDTF">2026-04-06T08:54:59Z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