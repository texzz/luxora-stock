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hidePivotFieldList="1"/>
  <xr:revisionPtr revIDLastSave="0" documentId="13_ncr:1_{50F71797-BA69-4972-9173-191C5CE27A9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TOCK REPORT " sheetId="7" r:id="rId1"/>
  </sheets>
  <definedNames>
    <definedName name="Advances">#REF!</definedName>
    <definedName name="ColumnTitle1">#REF!</definedName>
    <definedName name="CompanyName">#REF!</definedName>
    <definedName name="CustomerLookup">#REF!</definedName>
    <definedName name="Invoice_No">#REF!</definedName>
    <definedName name="InvoiceNoDetails">"InvoiceDetails[Invoice No]"</definedName>
    <definedName name="PreviousBalance">#REF!</definedName>
    <definedName name="rngInvoice">#REF!</definedName>
    <definedName name="RowTitleRegion1..F2">#REF!</definedName>
    <definedName name="Sub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7" l="1"/>
  <c r="D32" i="7"/>
  <c r="E32" i="7"/>
  <c r="F32" i="7"/>
  <c r="C32" i="7"/>
  <c r="G10" i="7"/>
  <c r="G11" i="7"/>
  <c r="G12" i="7"/>
  <c r="G13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9" i="7"/>
  <c r="G32" i="7" l="1"/>
</calcChain>
</file>

<file path=xl/sharedStrings.xml><?xml version="1.0" encoding="utf-8"?>
<sst xmlns="http://schemas.openxmlformats.org/spreadsheetml/2006/main" count="32" uniqueCount="32">
  <si>
    <t xml:space="preserve"> </t>
  </si>
  <si>
    <t xml:space="preserve">ARMANI MY WAY </t>
  </si>
  <si>
    <t>TOTAL</t>
  </si>
  <si>
    <t xml:space="preserve">MIX FRUIT </t>
  </si>
  <si>
    <t xml:space="preserve">CHOCOLATE MUSK </t>
  </si>
  <si>
    <t>DUNHILL RED</t>
  </si>
  <si>
    <t xml:space="preserve">ARABIAN WOODY </t>
  </si>
  <si>
    <t>GUCCI FLORA</t>
  </si>
  <si>
    <t xml:space="preserve">STOCK LIST </t>
  </si>
  <si>
    <t xml:space="preserve">NAME </t>
  </si>
  <si>
    <t xml:space="preserve">QUANTITY IN STOCK </t>
  </si>
  <si>
    <t>50 ML</t>
  </si>
  <si>
    <t>30 ML</t>
  </si>
  <si>
    <t xml:space="preserve">TOTAL QTY </t>
  </si>
  <si>
    <t xml:space="preserve">BRUT </t>
  </si>
  <si>
    <t xml:space="preserve">ICEBERG </t>
  </si>
  <si>
    <t>HAWAS ICE</t>
  </si>
  <si>
    <t xml:space="preserve">DUNHILL BLUE </t>
  </si>
  <si>
    <t>R HAWAS</t>
  </si>
  <si>
    <t xml:space="preserve">JPG MALE </t>
  </si>
  <si>
    <t>TOBACCO VANILLA</t>
  </si>
  <si>
    <t xml:space="preserve">LV IMAGINATION </t>
  </si>
  <si>
    <t xml:space="preserve">PATEL NECK </t>
  </si>
  <si>
    <t xml:space="preserve">ELEXIR </t>
  </si>
  <si>
    <t xml:space="preserve">MOST WANTED </t>
  </si>
  <si>
    <t xml:space="preserve">YARA </t>
  </si>
  <si>
    <t xml:space="preserve">LACOSTE </t>
  </si>
  <si>
    <t>CREED AVENTUS</t>
  </si>
  <si>
    <t xml:space="preserve">20 ML </t>
  </si>
  <si>
    <t>100 ML</t>
  </si>
  <si>
    <t>COOL WATER M</t>
  </si>
  <si>
    <t>COOL WATER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</si>
</sst>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7" formatCode="[&lt;=9999999]###\-####;\(###\)\ ###\-####"/>
  </numFmts>
  <fonts count="20" x14ac:knownFonts="1">
    <font>
      <sz val="11"/>
      <color theme="2" tint="-0.749961851863155"/>
      <name val="Calibri"/>
      <family val="2"/>
      <scheme val="minor"/>
    </font>
    <font>
      <sz val="14"/>
      <color theme="4" tint="-0.24994659260841701"/>
      <name val="Calibri"/>
      <family val="2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4"/>
      <color theme="4" tint="-0.24994659260841701"/>
      <name val="Arial"/>
      <family val="2"/>
      <scheme val="major"/>
    </font>
    <font>
      <sz val="12"/>
      <color theme="4" tint="-0.499984740745262"/>
      <name val="Arial"/>
      <family val="2"/>
      <scheme val="major"/>
    </font>
    <font>
      <sz val="11"/>
      <color theme="4" tint="-0.24994659260841701"/>
      <name val="Calibri"/>
      <family val="2"/>
      <scheme val="minor"/>
    </font>
    <font>
      <sz val="11"/>
      <color theme="1" tint="0.14993743705557422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4" tint="-0.24994659260841701"/>
      <name val="Arial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4" tint="-0.24994659260841701"/>
      <name val="Arial"/>
      <family val="2"/>
      <scheme val="maj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36"/>
      <color theme="2" tint="-0.749961851863155"/>
      <name val="Calibri"/>
      <family val="2"/>
      <scheme val="minor"/>
    </font>
    <font>
      <b/>
      <sz val="11"/>
      <color theme="2" tint="-0.74996185186315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">
    <xf numFmtId="0" fontId="0" fillId="0" borderId="0" applyNumberFormat="0" applyFill="0" applyBorder="0">
      <alignment vertical="top" wrapText="1"/>
    </xf>
    <xf numFmtId="0" fontId="9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1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 wrapText="1"/>
    </xf>
    <xf numFmtId="0" fontId="2" fillId="3" borderId="2" applyNumberFormat="0" applyAlignment="0" applyProtection="0"/>
    <xf numFmtId="0" fontId="3" fillId="2" borderId="0" applyNumberFormat="0" applyBorder="0" applyAlignment="0" applyProtection="0"/>
    <xf numFmtId="0" fontId="6" fillId="0" borderId="0" applyFill="0" applyBorder="0" applyProtection="0">
      <alignment horizontal="left"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" fillId="0" borderId="1" applyNumberFormat="0" applyAlignment="0" applyProtection="0"/>
    <xf numFmtId="0" fontId="11" fillId="0" borderId="0" applyFill="0" applyBorder="0" applyProtection="0">
      <alignment horizontal="left" vertical="center"/>
    </xf>
    <xf numFmtId="0" fontId="12" fillId="0" borderId="0">
      <alignment vertical="center"/>
    </xf>
    <xf numFmtId="14" fontId="12" fillId="0" borderId="0">
      <alignment horizontal="left" vertical="center"/>
    </xf>
    <xf numFmtId="0" fontId="12" fillId="0" borderId="0">
      <alignment vertical="center" wrapText="1"/>
    </xf>
    <xf numFmtId="0" fontId="12" fillId="0" borderId="3">
      <alignment horizontal="left" vertical="center" wrapText="1"/>
    </xf>
    <xf numFmtId="0" fontId="14" fillId="0" borderId="0">
      <alignment horizontal="left" wrapText="1" indent="1"/>
    </xf>
    <xf numFmtId="8" fontId="14" fillId="0" borderId="0" applyFont="0" applyFill="0" applyBorder="0" applyProtection="0">
      <alignment horizontal="right"/>
    </xf>
    <xf numFmtId="14" fontId="14" fillId="0" borderId="0" applyFont="0" applyFill="0" applyBorder="0">
      <alignment horizontal="right"/>
    </xf>
    <xf numFmtId="0" fontId="13" fillId="0" borderId="0" applyNumberFormat="0" applyFill="0" applyBorder="0" applyProtection="0">
      <alignment horizontal="center"/>
    </xf>
    <xf numFmtId="0" fontId="8" fillId="0" borderId="0" applyFill="0" applyProtection="0">
      <alignment horizontal="center" vertical="top"/>
    </xf>
    <xf numFmtId="0" fontId="15" fillId="0" borderId="0" applyFill="0" applyBorder="0" applyProtection="0">
      <alignment horizontal="center"/>
    </xf>
    <xf numFmtId="167" fontId="14" fillId="0" borderId="0" applyFont="0" applyFill="0" applyBorder="0">
      <alignment horizontal="left"/>
    </xf>
    <xf numFmtId="0" fontId="16" fillId="0" borderId="0" applyNumberFormat="0" applyFill="0" applyProtection="0">
      <alignment horizontal="left"/>
    </xf>
    <xf numFmtId="0" fontId="17" fillId="0" borderId="0" applyNumberFormat="0" applyFill="0" applyProtection="0">
      <alignment horizontal="right"/>
    </xf>
  </cellStyleXfs>
  <cellXfs count="10">
    <xf numFmtId="0" fontId="0" fillId="0" borderId="0" xfId="0">
      <alignment vertical="top" wrapText="1"/>
    </xf>
    <xf numFmtId="0" fontId="0" fillId="0" borderId="4" xfId="0" applyBorder="1">
      <alignment vertical="top" wrapText="1"/>
    </xf>
    <xf numFmtId="0" fontId="18" fillId="0" borderId="0" xfId="0" applyFont="1">
      <alignment vertical="top" wrapText="1"/>
    </xf>
    <xf numFmtId="0" fontId="0" fillId="0" borderId="6" xfId="0" applyBorder="1">
      <alignment vertical="top" wrapText="1"/>
    </xf>
    <xf numFmtId="0" fontId="19" fillId="4" borderId="5" xfId="0" applyFont="1" applyFill="1" applyBorder="1">
      <alignment vertical="top" wrapText="1"/>
    </xf>
    <xf numFmtId="0" fontId="19" fillId="5" borderId="4" xfId="0" applyFont="1" applyFill="1" applyBorder="1">
      <alignment vertical="top" wrapText="1"/>
    </xf>
    <xf numFmtId="0" fontId="19" fillId="4" borderId="4" xfId="0" applyFont="1" applyFill="1" applyBorder="1">
      <alignment vertical="top" wrapText="1"/>
    </xf>
    <xf numFmtId="0" fontId="19" fillId="4" borderId="6" xfId="0" applyFont="1" applyFill="1" applyBorder="1">
      <alignment vertical="top" wrapText="1"/>
    </xf>
    <xf numFmtId="0" fontId="19" fillId="5" borderId="4" xfId="0" applyFont="1" applyFill="1" applyBorder="1" applyAlignment="1">
      <alignment horizontal="center" vertical="top" wrapText="1"/>
    </xf>
    <xf numFmtId="0" fontId="19" fillId="5" borderId="4" xfId="0" applyFont="1" applyFill="1" applyBorder="1" applyAlignment="1">
      <alignment horizontal="center" vertical="center" wrapText="1"/>
    </xf>
  </cellXfs>
  <cellStyles count="25">
    <cellStyle name="60% - Accent1" xfId="6" builtinId="32" customBuiltin="1"/>
    <cellStyle name="Currency 2" xfId="17" xr:uid="{00000000-0005-0000-0000-000002000000}"/>
    <cellStyle name="Date" xfId="13" xr:uid="{00000000-0005-0000-0000-000003000000}"/>
    <cellStyle name="Date 2" xfId="18" xr:uid="{00000000-0005-0000-0000-000004000000}"/>
    <cellStyle name="Explanatory Text" xfId="9" builtinId="53" customBuiltin="1"/>
    <cellStyle name="Followed Hyperlink" xfId="4" builtinId="9" customBuiltin="1"/>
    <cellStyle name="Header Row" xfId="12" xr:uid="{00000000-0005-0000-0000-000007000000}"/>
    <cellStyle name="Heading 1" xfId="2" builtinId="16" customBuiltin="1"/>
    <cellStyle name="Heading 1 2" xfId="23" xr:uid="{00000000-0005-0000-0000-000009000000}"/>
    <cellStyle name="Heading 2" xfId="3" builtinId="17" customBuiltin="1"/>
    <cellStyle name="Heading 2 2" xfId="24" xr:uid="{00000000-0005-0000-0000-00000B000000}"/>
    <cellStyle name="Heading 3" xfId="7" builtinId="18" customBuiltin="1"/>
    <cellStyle name="Heading 3 2" xfId="20" xr:uid="{00000000-0005-0000-0000-00000D000000}"/>
    <cellStyle name="Heading 4" xfId="11" builtinId="19" customBuiltin="1"/>
    <cellStyle name="Heading 4 2" xfId="19" xr:uid="{00000000-0005-0000-0000-00000F000000}"/>
    <cellStyle name="Hyperlink" xfId="1" builtinId="8" customBuiltin="1"/>
    <cellStyle name="Label Text" xfId="15" xr:uid="{00000000-0005-0000-0000-000011000000}"/>
    <cellStyle name="Normal" xfId="0" builtinId="0" customBuiltin="1"/>
    <cellStyle name="Normal 2" xfId="16" xr:uid="{00000000-0005-0000-0000-000013000000}"/>
    <cellStyle name="Phone" xfId="22" xr:uid="{00000000-0005-0000-0000-000015000000}"/>
    <cellStyle name="Table Text" xfId="14" xr:uid="{00000000-0005-0000-0000-000016000000}"/>
    <cellStyle name="Title" xfId="5" builtinId="15" customBuiltin="1"/>
    <cellStyle name="Title 2" xfId="21" xr:uid="{00000000-0005-0000-0000-000018000000}"/>
    <cellStyle name="Total" xfId="10" builtinId="25" customBuiltin="1"/>
    <cellStyle name="Warning Text" xfId="8" builtinId="11" customBuiltin="1"/>
  </cellStyles>
  <dxfs count="17"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color theme="4" tint="-0.249977111117893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gradientFill degree="90">
          <stop position="0">
            <color theme="3"/>
          </stop>
          <stop position="1">
            <color theme="3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3" defaultTableStyle="Sales Invoice Table" defaultPivotStyle="PivotStyleLight16">
    <tableStyle name="Business Table" pivot="0" count="3" xr9:uid="{00000000-0011-0000-FFFF-FFFF00000000}">
      <tableStyleElement type="wholeTable" dxfId="16"/>
      <tableStyleElement type="headerRow" dxfId="15"/>
      <tableStyleElement type="secondRowStripe" dxfId="14"/>
    </tableStyle>
    <tableStyle name="InventoryTable" pivot="0" count="7" xr9:uid="{00000000-0011-0000-FFFF-FFFF01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Sales Invoice Table" pivot="0" count="7" xr9:uid="{00000000-0011-0000-FFFF-FFFF02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A99B2"/>
      <color rgb="FF0F57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99B2"/>
  </sheetPr>
  <dimension ref="A1:G32"/>
  <sheetViews>
    <sheetView tabSelected="1" topLeftCell="A7" zoomScale="130" zoomScaleNormal="130" workbookViewId="0">
      <selection activeCell="K25" sqref="K25"/>
    </sheetView>
  </sheetViews>
  <sheetFormatPr defaultRowHeight="14.5" x14ac:dyDescent="0.35"/>
  <cols>
    <col min="1" max="1" width="33.7265625" bestFit="1" customWidth="1"/>
    <col min="2" max="2" width="24.7265625" customWidth="1"/>
    <col min="3" max="5" width="6.26953125" bestFit="1" customWidth="1"/>
    <col min="6" max="6" width="7.453125" bestFit="1" customWidth="1"/>
    <col min="7" max="7" width="10.453125" bestFit="1" customWidth="1"/>
  </cols>
  <sheetData>
    <row r="1" spans="1:7" ht="46" x14ac:dyDescent="0.35">
      <c r="A1" s="2" t="s">
        <v>8</v>
      </c>
    </row>
    <row r="6" spans="1:7" x14ac:dyDescent="0.35">
      <c r="A6" t="s">
        <v>0</v>
      </c>
      <c r="B6" s="9" t="s">
        <v>9</v>
      </c>
      <c r="C6" s="8" t="s">
        <v>10</v>
      </c>
      <c r="D6" s="8"/>
      <c r="E6" s="8"/>
      <c r="F6" s="8"/>
      <c r="G6" s="8" t="s">
        <v>13</v>
      </c>
    </row>
    <row r="7" spans="1:7" x14ac:dyDescent="0.35">
      <c r="B7" s="9"/>
      <c r="C7" s="5" t="s">
        <v>28</v>
      </c>
      <c r="D7" s="5" t="s">
        <v>12</v>
      </c>
      <c r="E7" s="5" t="s">
        <v>11</v>
      </c>
      <c r="F7" s="5" t="s">
        <v>29</v>
      </c>
      <c r="G7" s="8"/>
    </row>
    <row r="8" spans="1:7" x14ac:dyDescent="0.35">
      <c r="B8" s="1"/>
      <c r="C8" s="1"/>
      <c r="D8" s="1"/>
      <c r="E8" s="1"/>
      <c r="F8" s="1"/>
      <c r="G8" s="1"/>
    </row>
    <row r="9" spans="1:7" x14ac:dyDescent="0.35">
      <c r="B9" s="1" t="s">
        <v>6</v>
      </c>
      <c r="C9" s="1">
        <v>1</v>
      </c>
      <c r="D9" s="1">
        <v>0</v>
      </c>
      <c r="E9" s="1">
        <v>1</v>
      </c>
      <c r="F9" s="1">
        <v>1</v>
      </c>
      <c r="G9" s="6">
        <f>C9+D9+E9+F9</f>
        <v>3</v>
      </c>
    </row>
    <row r="10" spans="1:7" x14ac:dyDescent="0.35">
      <c r="B10" s="1" t="s">
        <v>1</v>
      </c>
      <c r="C10" s="1">
        <v>0</v>
      </c>
      <c r="D10" s="1">
        <v>1</v>
      </c>
      <c r="E10" s="1">
        <v>1</v>
      </c>
      <c r="F10" s="1">
        <v>1</v>
      </c>
      <c r="G10" s="6">
        <f t="shared" ref="G10:G30" si="0">C10+D10+E10+F10</f>
        <v>3</v>
      </c>
    </row>
    <row r="11" spans="1:7" x14ac:dyDescent="0.35">
      <c r="B11" s="1" t="s">
        <v>14</v>
      </c>
      <c r="C11" s="1">
        <v>4</v>
      </c>
      <c r="D11" s="1">
        <v>0</v>
      </c>
      <c r="E11" s="1">
        <v>2</v>
      </c>
      <c r="F11" s="1">
        <v>0</v>
      </c>
      <c r="G11" s="6">
        <f t="shared" si="0"/>
        <v>6</v>
      </c>
    </row>
    <row r="12" spans="1:7" x14ac:dyDescent="0.35">
      <c r="B12" s="1" t="s">
        <v>15</v>
      </c>
      <c r="C12" s="1">
        <v>2</v>
      </c>
      <c r="D12" s="1">
        <v>2</v>
      </c>
      <c r="E12" s="1">
        <v>1</v>
      </c>
      <c r="F12" s="1">
        <v>0</v>
      </c>
      <c r="G12" s="6">
        <f t="shared" si="0"/>
        <v>5</v>
      </c>
    </row>
    <row r="13" spans="1:7" x14ac:dyDescent="0.35">
      <c r="B13" s="1" t="s">
        <v>30</v>
      </c>
      <c r="C13" s="1">
        <v>2</v>
      </c>
      <c r="D13" s="1">
        <v>0</v>
      </c>
      <c r="E13" s="1">
        <v>2</v>
      </c>
      <c r="F13" s="1">
        <v>1</v>
      </c>
      <c r="G13" s="6">
        <f t="shared" si="0"/>
        <v>5</v>
      </c>
    </row>
    <row r="14" spans="1:7" x14ac:dyDescent="0.35">
      <c r="B14" s="1" t="s">
        <v>31</v>
      </c>
      <c r="C14" s="1">
        <v>2</v>
      </c>
      <c r="D14" s="1">
        <v>0</v>
      </c>
      <c r="E14" s="1">
        <v>1</v>
      </c>
      <c r="F14" s="1">
        <v>0</v>
      </c>
      <c r="G14" s="6">
        <f t="shared" si="0"/>
        <v>3</v>
      </c>
    </row>
    <row r="15" spans="1:7" x14ac:dyDescent="0.35">
      <c r="B15" s="1" t="s">
        <v>16</v>
      </c>
      <c r="C15" s="1">
        <v>6</v>
      </c>
      <c r="D15" s="1">
        <v>0</v>
      </c>
      <c r="E15" s="1">
        <v>3</v>
      </c>
      <c r="F15" s="1">
        <v>0</v>
      </c>
      <c r="G15" s="6">
        <f t="shared" si="0"/>
        <v>9</v>
      </c>
    </row>
    <row r="16" spans="1:7" x14ac:dyDescent="0.35">
      <c r="B16" s="1" t="s">
        <v>5</v>
      </c>
      <c r="C16" s="1">
        <v>1</v>
      </c>
      <c r="D16" s="1">
        <v>0</v>
      </c>
      <c r="E16" s="1">
        <v>0</v>
      </c>
      <c r="F16" s="1">
        <v>1</v>
      </c>
      <c r="G16" s="6">
        <f t="shared" si="0"/>
        <v>2</v>
      </c>
    </row>
    <row r="17" spans="2:7" x14ac:dyDescent="0.35">
      <c r="B17" s="1" t="s">
        <v>17</v>
      </c>
      <c r="C17" s="1">
        <v>1</v>
      </c>
      <c r="D17" s="1">
        <v>0</v>
      </c>
      <c r="E17" s="1">
        <v>1</v>
      </c>
      <c r="F17" s="1">
        <v>1</v>
      </c>
      <c r="G17" s="6">
        <f t="shared" si="0"/>
        <v>3</v>
      </c>
    </row>
    <row r="18" spans="2:7" x14ac:dyDescent="0.35">
      <c r="B18" s="1" t="s">
        <v>18</v>
      </c>
      <c r="C18" s="1">
        <v>4</v>
      </c>
      <c r="D18" s="1">
        <v>1</v>
      </c>
      <c r="E18" s="1">
        <v>1</v>
      </c>
      <c r="F18" s="1">
        <v>0</v>
      </c>
      <c r="G18" s="6">
        <f t="shared" si="0"/>
        <v>6</v>
      </c>
    </row>
    <row r="19" spans="2:7" x14ac:dyDescent="0.35">
      <c r="B19" s="1" t="s">
        <v>4</v>
      </c>
      <c r="C19" s="1">
        <v>2</v>
      </c>
      <c r="D19" s="1">
        <v>0</v>
      </c>
      <c r="E19" s="1">
        <v>1</v>
      </c>
      <c r="F19" s="1">
        <v>1</v>
      </c>
      <c r="G19" s="6">
        <f t="shared" si="0"/>
        <v>4</v>
      </c>
    </row>
    <row r="20" spans="2:7" x14ac:dyDescent="0.35">
      <c r="B20" s="1" t="s">
        <v>19</v>
      </c>
      <c r="C20" s="1">
        <v>2</v>
      </c>
      <c r="D20" s="1">
        <v>0</v>
      </c>
      <c r="E20" s="1">
        <v>2</v>
      </c>
      <c r="F20" s="1">
        <v>0</v>
      </c>
      <c r="G20" s="6">
        <f t="shared" si="0"/>
        <v>4</v>
      </c>
    </row>
    <row r="21" spans="2:7" x14ac:dyDescent="0.35">
      <c r="B21" s="1" t="s">
        <v>20</v>
      </c>
      <c r="C21" s="1">
        <v>2</v>
      </c>
      <c r="D21" s="1">
        <v>2</v>
      </c>
      <c r="E21" s="1">
        <v>2</v>
      </c>
      <c r="F21" s="1">
        <v>0</v>
      </c>
      <c r="G21" s="6">
        <f t="shared" si="0"/>
        <v>6</v>
      </c>
    </row>
    <row r="22" spans="2:7" x14ac:dyDescent="0.35">
      <c r="B22" s="1" t="s">
        <v>7</v>
      </c>
      <c r="C22" s="1">
        <v>2</v>
      </c>
      <c r="D22" s="1">
        <v>1</v>
      </c>
      <c r="E22" s="1">
        <v>1</v>
      </c>
      <c r="F22" s="1">
        <v>0</v>
      </c>
      <c r="G22" s="6">
        <f t="shared" si="0"/>
        <v>4</v>
      </c>
    </row>
    <row r="23" spans="2:7" x14ac:dyDescent="0.35">
      <c r="B23" s="1" t="s">
        <v>21</v>
      </c>
      <c r="C23" s="1">
        <v>3</v>
      </c>
      <c r="D23" s="1">
        <v>1</v>
      </c>
      <c r="E23" s="1">
        <v>3</v>
      </c>
      <c r="F23" s="1">
        <v>1</v>
      </c>
      <c r="G23" s="6">
        <f t="shared" si="0"/>
        <v>8</v>
      </c>
    </row>
    <row r="24" spans="2:7" x14ac:dyDescent="0.35">
      <c r="B24" s="1" t="s">
        <v>22</v>
      </c>
      <c r="C24" s="1">
        <v>1</v>
      </c>
      <c r="D24" s="1">
        <v>1</v>
      </c>
      <c r="E24" s="1">
        <v>1</v>
      </c>
      <c r="F24" s="1">
        <v>1</v>
      </c>
      <c r="G24" s="6">
        <f t="shared" si="0"/>
        <v>4</v>
      </c>
    </row>
    <row r="25" spans="2:7" x14ac:dyDescent="0.35">
      <c r="B25" s="1" t="s">
        <v>23</v>
      </c>
      <c r="C25" s="1">
        <v>0</v>
      </c>
      <c r="D25" s="1">
        <v>0</v>
      </c>
      <c r="E25" s="1">
        <v>0</v>
      </c>
      <c r="F25" s="1">
        <v>1</v>
      </c>
      <c r="G25" s="6">
        <f t="shared" si="0"/>
        <v>1</v>
      </c>
    </row>
    <row r="26" spans="2:7" x14ac:dyDescent="0.35">
      <c r="B26" s="1" t="s">
        <v>3</v>
      </c>
      <c r="C26" s="1">
        <v>0</v>
      </c>
      <c r="D26" s="1">
        <v>0</v>
      </c>
      <c r="E26" s="1">
        <v>0</v>
      </c>
      <c r="F26" s="1">
        <v>1</v>
      </c>
      <c r="G26" s="6">
        <f t="shared" si="0"/>
        <v>1</v>
      </c>
    </row>
    <row r="27" spans="2:7" x14ac:dyDescent="0.35">
      <c r="B27" s="1" t="s">
        <v>24</v>
      </c>
      <c r="C27" s="1">
        <v>4</v>
      </c>
      <c r="D27" s="1">
        <v>0</v>
      </c>
      <c r="E27" s="1">
        <v>2</v>
      </c>
      <c r="F27" s="1">
        <v>1</v>
      </c>
      <c r="G27" s="6">
        <f t="shared" si="0"/>
        <v>7</v>
      </c>
    </row>
    <row r="28" spans="2:7" x14ac:dyDescent="0.35">
      <c r="B28" s="1" t="s">
        <v>25</v>
      </c>
      <c r="C28" s="1">
        <v>2</v>
      </c>
      <c r="D28" s="1">
        <v>2</v>
      </c>
      <c r="E28" s="1">
        <v>1</v>
      </c>
      <c r="F28" s="1">
        <v>1</v>
      </c>
      <c r="G28" s="6">
        <f t="shared" si="0"/>
        <v>6</v>
      </c>
    </row>
    <row r="29" spans="2:7" x14ac:dyDescent="0.35">
      <c r="B29" s="1" t="s">
        <v>26</v>
      </c>
      <c r="C29" s="1">
        <v>0</v>
      </c>
      <c r="D29" s="1">
        <v>0</v>
      </c>
      <c r="E29" s="1">
        <v>0</v>
      </c>
      <c r="F29" s="1">
        <v>1</v>
      </c>
      <c r="G29" s="6">
        <f t="shared" si="0"/>
        <v>1</v>
      </c>
    </row>
    <row r="30" spans="2:7" x14ac:dyDescent="0.35">
      <c r="B30" s="3" t="s">
        <v>27</v>
      </c>
      <c r="C30" s="3">
        <v>2</v>
      </c>
      <c r="D30" s="3">
        <v>2</v>
      </c>
      <c r="E30" s="3">
        <v>0</v>
      </c>
      <c r="F30" s="3">
        <v>0</v>
      </c>
      <c r="G30" s="7">
        <f t="shared" si="0"/>
        <v>4</v>
      </c>
    </row>
    <row r="31" spans="2:7" x14ac:dyDescent="0.35">
      <c r="B31" s="1"/>
      <c r="C31" s="1"/>
      <c r="D31" s="1"/>
      <c r="E31" s="1"/>
      <c r="F31" s="1"/>
      <c r="G31" s="1"/>
    </row>
    <row r="32" spans="2:7" x14ac:dyDescent="0.35">
      <c r="B32" s="4" t="s">
        <v>2</v>
      </c>
      <c r="C32" s="4">
        <f>SUM(C9:C30)</f>
        <v>43</v>
      </c>
      <c r="D32" s="4">
        <f t="shared" ref="D32:F32" si="1">SUM(D9:D30)</f>
        <v>13</v>
      </c>
      <c r="E32" s="4">
        <f t="shared" si="1"/>
        <v>26</v>
      </c>
      <c r="F32" s="4">
        <f t="shared" si="1"/>
        <v>13</v>
      </c>
      <c r="G32" s="4">
        <f>SUM(G9:G30)</f>
        <v>95</v>
      </c>
    </row>
  </sheetData>
  <mergeCells count="3">
    <mergeCell ref="C6:F6"/>
    <mergeCell ref="B6:B7"/>
    <mergeCell ref="G6:G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3A445B-6F4E-403F-A36E-68D87D4B8C1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6c05727-aa75-4e4a-9b5f-8a80a1165891"/>
    <ds:schemaRef ds:uri="http://purl.org/dc/dcmitype/"/>
    <ds:schemaRef ds:uri="http://schemas.microsoft.com/office/infopath/2007/PartnerControls"/>
    <ds:schemaRef ds:uri="71af3243-3dd4-4a8d-8c0d-dd76da1f02a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9F30CEA-6D05-4B1D-8ED8-16A4798C4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8E6A8D-8506-4921-9AAC-35C577A39F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2019-07-08T21:21:18Z</dcterms:created>
  <dcterms:modified xsi:type="dcterms:W3CDTF">2026-04-06T09:28:16Z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