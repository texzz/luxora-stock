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 hidePivotFieldList="1"/>
  <xr:revisionPtr revIDLastSave="0" documentId="13_ncr:1_{7F917577-0E5C-4310-BB5E-95611A2D86B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ALES" sheetId="2" r:id="rId1"/>
  </sheets>
  <definedNames>
    <definedName name="_xlnm._FilterDatabase" localSheetId="0" hidden="1">SALES!$A$4:$A$64</definedName>
    <definedName name="Advances">#REF!</definedName>
    <definedName name="ColumnTitle1">#REF!</definedName>
    <definedName name="CompanyName">#REF!</definedName>
    <definedName name="CustomerLookup">#REF!</definedName>
    <definedName name="Invoice_No">InvoicesMain[Invoice '#]</definedName>
    <definedName name="InvoiceNoDetails">"InvoiceDetails[Invoice No]"</definedName>
    <definedName name="PreviousBalance">#REF!</definedName>
    <definedName name="_xlnm.Print_Titles" localSheetId="0">SALES!$4:$4</definedName>
    <definedName name="rngInvoice">#REF!</definedName>
    <definedName name="RowTitleRegion1..F2">#REF!</definedName>
    <definedName name="Subtot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6" i="2" l="1"/>
  <c r="J69" i="2" l="1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68" i="2"/>
  <c r="J56" i="2" l="1"/>
  <c r="J57" i="2"/>
  <c r="J58" i="2"/>
  <c r="J59" i="2"/>
  <c r="J60" i="2"/>
  <c r="J61" i="2"/>
  <c r="J62" i="2"/>
  <c r="J63" i="2"/>
  <c r="J64" i="2"/>
  <c r="J65" i="2"/>
  <c r="J66" i="2"/>
  <c r="J67" i="2"/>
  <c r="J55" i="2"/>
  <c r="J54" i="2"/>
  <c r="J52" i="2"/>
  <c r="J53" i="2"/>
  <c r="J47" i="2"/>
  <c r="J39" i="2"/>
  <c r="J40" i="2"/>
  <c r="J41" i="2"/>
  <c r="J42" i="2"/>
  <c r="J43" i="2"/>
  <c r="J44" i="2"/>
  <c r="J45" i="2"/>
  <c r="J46" i="2"/>
  <c r="J48" i="2"/>
  <c r="J49" i="2"/>
  <c r="J50" i="2"/>
  <c r="J51" i="2"/>
  <c r="J38" i="2"/>
  <c r="J29" i="2"/>
  <c r="J37" i="2" l="1"/>
  <c r="J34" i="2"/>
  <c r="J35" i="2"/>
  <c r="J36" i="2"/>
  <c r="J33" i="2" l="1"/>
  <c r="J31" i="2"/>
  <c r="J32" i="2"/>
  <c r="J27" i="2" l="1"/>
  <c r="J28" i="2"/>
  <c r="J26" i="2" l="1"/>
  <c r="J30" i="2"/>
  <c r="J25" i="2"/>
  <c r="J24" i="2"/>
  <c r="J5" i="2"/>
  <c r="I118" i="2" l="1"/>
  <c r="G118" i="2"/>
  <c r="J11" i="2"/>
  <c r="B6" i="2" l="1"/>
  <c r="B7" i="2" s="1"/>
  <c r="B8" i="2" s="1"/>
  <c r="B9" i="2" s="1"/>
  <c r="B10" i="2" s="1"/>
  <c r="B11" i="2" s="1"/>
  <c r="B12" i="2" s="1"/>
  <c r="B13" i="2" s="1"/>
  <c r="J8" i="2"/>
  <c r="J6" i="2"/>
  <c r="J7" i="2"/>
  <c r="J9" i="2"/>
  <c r="J10" i="2"/>
  <c r="H118" i="2"/>
  <c r="J118" i="2" l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l="1"/>
  <c r="B109" i="2" l="1"/>
  <c r="B110" i="2" l="1"/>
  <c r="B111" i="2" l="1"/>
  <c r="B112" i="2" l="1"/>
  <c r="B113" i="2" l="1"/>
  <c r="B114" i="2" l="1"/>
  <c r="B115" i="2" l="1"/>
  <c r="B116" i="2" l="1"/>
  <c r="B117" i="2" l="1"/>
</calcChain>
</file>

<file path=xl/sharedStrings.xml><?xml version="1.0" encoding="utf-8"?>
<sst xmlns="http://schemas.openxmlformats.org/spreadsheetml/2006/main" count="422" uniqueCount="91">
  <si>
    <t>Tax Rate</t>
  </si>
  <si>
    <t>Invoice Date</t>
  </si>
  <si>
    <t>Invoice #</t>
  </si>
  <si>
    <t>Invoice Total</t>
  </si>
  <si>
    <t>Totals</t>
  </si>
  <si>
    <t xml:space="preserve"> </t>
  </si>
  <si>
    <t xml:space="preserve">PRODUCT </t>
  </si>
  <si>
    <t>QTY</t>
  </si>
  <si>
    <t xml:space="preserve">SAMPLE TESTERS </t>
  </si>
  <si>
    <t>PRICE</t>
  </si>
  <si>
    <t>MOST WANTED</t>
  </si>
  <si>
    <t xml:space="preserve">ARMANI MY WAY </t>
  </si>
  <si>
    <t xml:space="preserve">HAWAS ICE / FOREST AQUA </t>
  </si>
  <si>
    <t>ML</t>
  </si>
  <si>
    <t>CUSTOMER</t>
  </si>
  <si>
    <t>-</t>
  </si>
  <si>
    <t xml:space="preserve">SMIT </t>
  </si>
  <si>
    <t>SONU</t>
  </si>
  <si>
    <t xml:space="preserve">ANKIT </t>
  </si>
  <si>
    <t xml:space="preserve">BHARAT </t>
  </si>
  <si>
    <t>ASHISH</t>
  </si>
  <si>
    <t>INVOICES</t>
  </si>
  <si>
    <t>LUXORA</t>
  </si>
  <si>
    <t>OM</t>
  </si>
  <si>
    <t xml:space="preserve">LATAFA YARA </t>
  </si>
  <si>
    <t xml:space="preserve">PERSONAL </t>
  </si>
  <si>
    <t xml:space="preserve">NAYAN </t>
  </si>
  <si>
    <t xml:space="preserve">GAUTAM </t>
  </si>
  <si>
    <t xml:space="preserve">MIX FRUIT </t>
  </si>
  <si>
    <t xml:space="preserve">PAYMENT </t>
  </si>
  <si>
    <t>PAID/SBI</t>
  </si>
  <si>
    <t>SUJAL</t>
  </si>
  <si>
    <t>NOTE</t>
  </si>
  <si>
    <t>ELEXIR</t>
  </si>
  <si>
    <t xml:space="preserve">COOL WATER </t>
  </si>
  <si>
    <t xml:space="preserve">MONICA </t>
  </si>
  <si>
    <t>RASSASI HAWAS</t>
  </si>
  <si>
    <t>SWATI</t>
  </si>
  <si>
    <t>RINKU</t>
  </si>
  <si>
    <t xml:space="preserve">PURPLE MUSK </t>
  </si>
  <si>
    <t xml:space="preserve">SANJAY </t>
  </si>
  <si>
    <t xml:space="preserve">JAY </t>
  </si>
  <si>
    <t>TIRTH</t>
  </si>
  <si>
    <t xml:space="preserve">JYOTI </t>
  </si>
  <si>
    <t>HARSHAD</t>
  </si>
  <si>
    <t>LACOSTE</t>
  </si>
  <si>
    <t xml:space="preserve">CREED AVENTUS </t>
  </si>
  <si>
    <t>KHUSHBOO</t>
  </si>
  <si>
    <t>VIJAY</t>
  </si>
  <si>
    <t>AASTHA</t>
  </si>
  <si>
    <t>LV IMAGINATION</t>
  </si>
  <si>
    <t>MOGRA</t>
  </si>
  <si>
    <t>GULAB</t>
  </si>
  <si>
    <t xml:space="preserve">CHOCOLATE MUSK </t>
  </si>
  <si>
    <t>JAINIL</t>
  </si>
  <si>
    <t>SANJAY  DHRUV</t>
  </si>
  <si>
    <t>MONICA JINAL</t>
  </si>
  <si>
    <t xml:space="preserve"> MONICA JAMES</t>
  </si>
  <si>
    <t>ASHISH TIRTH</t>
  </si>
  <si>
    <t>BY ORDER</t>
  </si>
  <si>
    <t>NAYAN</t>
  </si>
  <si>
    <t>MUTUAL</t>
  </si>
  <si>
    <t>DHRUV</t>
  </si>
  <si>
    <t xml:space="preserve">BHAVESH </t>
  </si>
  <si>
    <t>AKASH</t>
  </si>
  <si>
    <t xml:space="preserve">YASH </t>
  </si>
  <si>
    <t>FORAM MONICA</t>
  </si>
  <si>
    <t>PALLAVI MONICA</t>
  </si>
  <si>
    <t>MINALMONICA</t>
  </si>
  <si>
    <t>BHARAT MONICA</t>
  </si>
  <si>
    <t>GAURAV MONICA</t>
  </si>
  <si>
    <t>MONICA JESAL</t>
  </si>
  <si>
    <t>BNI</t>
  </si>
  <si>
    <t xml:space="preserve">MUKUND </t>
  </si>
  <si>
    <t>DUNHILL RED</t>
  </si>
  <si>
    <t>KESAR CHANDAN</t>
  </si>
  <si>
    <t xml:space="preserve">ARABIAN WOODY </t>
  </si>
  <si>
    <t xml:space="preserve">ARMANI MY WAY / ICONIC WAY </t>
  </si>
  <si>
    <t xml:space="preserve">CHEF THE PARTE </t>
  </si>
  <si>
    <t xml:space="preserve">KRISHNA PATHAK </t>
  </si>
  <si>
    <t>NILESH PATEL</t>
  </si>
  <si>
    <t xml:space="preserve">TOMFORD TOBACCO VANILLA </t>
  </si>
  <si>
    <t>MONICA</t>
  </si>
  <si>
    <t xml:space="preserve">HARSH </t>
  </si>
  <si>
    <t>HARSH</t>
  </si>
  <si>
    <t>COOL WATER WOMEN</t>
  </si>
  <si>
    <t>GAUTAM AHM</t>
  </si>
  <si>
    <t xml:space="preserve">KRISH </t>
  </si>
  <si>
    <t>ARVIND</t>
  </si>
  <si>
    <t>SANDEEP</t>
  </si>
  <si>
    <t>GUCCI FLORA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</si>
</sst>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_);[Red]\(&quot;$&quot;#,##0.00\)"/>
    <numFmt numFmtId="164" formatCode="_ &quot;₹&quot;\ * #,##0.00_ ;_ &quot;₹&quot;\ * \-#,##0.00_ ;_ &quot;₹&quot;\ * &quot;-&quot;??_ ;_ @_ "/>
    <numFmt numFmtId="165" formatCode="&quot;$&quot;#,##0.00"/>
    <numFmt numFmtId="166" formatCode="_ [$₹-4009]\ * #,##0.00_ ;_ [$₹-4009]\ * \-#,##0.00_ ;_ [$₹-4009]\ * &quot;-&quot;??_ ;_ @_ "/>
    <numFmt numFmtId="167" formatCode="[&lt;=9999999]###\-####;\(###\)\ ###\-####"/>
    <numFmt numFmtId="169" formatCode="[$-F800]dddd\,\ mmmm\ dd\,\ yyyy"/>
  </numFmts>
  <fonts count="26">
    <font>
      <sz val="11"/>
      <color theme="2" tint="-0.749961851863155"/>
      <name val="Calibri"/>
      <family val="2"/>
      <scheme val="minor"/>
    </font>
    <font>
      <sz val="10"/>
      <name val="Calibri"/>
      <family val="2"/>
      <scheme val="minor"/>
    </font>
    <font>
      <sz val="14"/>
      <color theme="4" tint="-0.24994659260841701"/>
      <name val="Calibri"/>
      <family val="2"/>
    </font>
    <font>
      <b/>
      <sz val="25"/>
      <color theme="0"/>
      <name val="Arial"/>
      <family val="2"/>
      <scheme val="major"/>
    </font>
    <font>
      <sz val="11"/>
      <color theme="2" tint="-0.899960325937681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4"/>
      <color theme="4" tint="-0.24994659260841701"/>
      <name val="Arial"/>
      <family val="2"/>
      <scheme val="major"/>
    </font>
    <font>
      <sz val="12"/>
      <color theme="4" tint="-0.499984740745262"/>
      <name val="Arial"/>
      <family val="2"/>
      <scheme val="major"/>
    </font>
    <font>
      <sz val="11"/>
      <color theme="4" tint="-0.24994659260841701"/>
      <name val="Calibri"/>
      <family val="2"/>
      <scheme val="minor"/>
    </font>
    <font>
      <sz val="11"/>
      <color theme="1" tint="0.14993743705557422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sz val="11"/>
      <color theme="4" tint="-0.24994659260841701"/>
      <name val="Arial"/>
      <family val="2"/>
      <scheme val="major"/>
    </font>
    <font>
      <sz val="11"/>
      <color theme="2" tint="-0.749961851863155"/>
      <name val="Calibri"/>
      <family val="2"/>
      <scheme val="minor"/>
    </font>
    <font>
      <sz val="22"/>
      <color theme="2" tint="-0.749961851863155"/>
      <name val="Calibri"/>
      <family val="2"/>
      <scheme val="minor"/>
    </font>
    <font>
      <sz val="24"/>
      <color theme="2" tint="-0.749961851863155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Arial"/>
      <family val="2"/>
      <scheme val="major"/>
    </font>
    <font>
      <sz val="10"/>
      <name val="Calibri"/>
      <family val="1"/>
      <scheme val="minor"/>
    </font>
    <font>
      <sz val="11"/>
      <name val="Calibri"/>
      <family val="2"/>
      <scheme val="minor"/>
    </font>
    <font>
      <sz val="11"/>
      <name val="Calibri"/>
      <scheme val="minor"/>
    </font>
    <font>
      <b/>
      <sz val="16"/>
      <name val="Calibri"/>
      <scheme val="minor"/>
    </font>
    <font>
      <b/>
      <sz val="12"/>
      <color theme="4" tint="-0.24994659260841701"/>
      <name val="Arial"/>
      <family val="2"/>
      <scheme val="major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  <border>
      <left/>
      <right/>
      <top/>
      <bottom style="thick">
        <color theme="4" tint="0.59996337778862885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7">
    <xf numFmtId="0" fontId="0" fillId="0" borderId="0" applyNumberFormat="0" applyFill="0" applyBorder="0">
      <alignment vertical="top" wrapText="1"/>
    </xf>
    <xf numFmtId="0" fontId="10" fillId="0" borderId="0" applyNumberFormat="0" applyFill="0" applyBorder="0" applyAlignment="0" applyProtection="0"/>
    <xf numFmtId="0" fontId="8" fillId="0" borderId="0" applyNumberFormat="0" applyFill="0" applyBorder="0" applyProtection="0">
      <alignment vertical="center"/>
    </xf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 wrapText="1"/>
    </xf>
    <xf numFmtId="0" fontId="3" fillId="3" borderId="2" applyNumberFormat="0" applyAlignment="0" applyProtection="0"/>
    <xf numFmtId="0" fontId="4" fillId="2" borderId="0" applyNumberFormat="0" applyBorder="0" applyAlignment="0" applyProtection="0"/>
    <xf numFmtId="0" fontId="7" fillId="0" borderId="0" applyFill="0" applyBorder="0" applyProtection="0">
      <alignment horizontal="left" vertical="center"/>
    </xf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5" fillId="0" borderId="1" applyNumberFormat="0" applyAlignment="0" applyProtection="0"/>
    <xf numFmtId="0" fontId="12" fillId="0" borderId="0" applyFill="0" applyBorder="0" applyProtection="0">
      <alignment horizontal="left" vertical="center"/>
    </xf>
    <xf numFmtId="164" fontId="13" fillId="0" borderId="0" applyFont="0" applyFill="0" applyBorder="0" applyAlignment="0" applyProtection="0"/>
    <xf numFmtId="0" fontId="16" fillId="0" borderId="0">
      <alignment vertical="center"/>
    </xf>
    <xf numFmtId="14" fontId="16" fillId="0" borderId="0">
      <alignment horizontal="left" vertical="center"/>
    </xf>
    <xf numFmtId="0" fontId="16" fillId="0" borderId="0">
      <alignment vertical="center" wrapText="1"/>
    </xf>
    <xf numFmtId="0" fontId="16" fillId="0" borderId="3">
      <alignment horizontal="left" vertical="center" wrapText="1"/>
    </xf>
    <xf numFmtId="0" fontId="20" fillId="0" borderId="0">
      <alignment horizontal="left" wrapText="1" indent="1"/>
    </xf>
    <xf numFmtId="8" fontId="20" fillId="0" borderId="0" applyFont="0" applyFill="0" applyBorder="0" applyProtection="0">
      <alignment horizontal="right"/>
    </xf>
    <xf numFmtId="14" fontId="20" fillId="0" borderId="0" applyFont="0" applyFill="0" applyBorder="0">
      <alignment horizontal="right"/>
    </xf>
    <xf numFmtId="0" fontId="17" fillId="0" borderId="0" applyNumberFormat="0" applyFill="0" applyBorder="0" applyProtection="0">
      <alignment horizontal="center"/>
    </xf>
    <xf numFmtId="0" fontId="9" fillId="0" borderId="0" applyFill="0" applyProtection="0">
      <alignment horizontal="center" vertical="top"/>
    </xf>
    <xf numFmtId="0" fontId="23" fillId="0" borderId="0" applyFill="0" applyBorder="0" applyProtection="0">
      <alignment horizontal="center"/>
    </xf>
    <xf numFmtId="167" fontId="20" fillId="0" borderId="0" applyFont="0" applyFill="0" applyBorder="0">
      <alignment horizontal="left"/>
    </xf>
    <xf numFmtId="0" fontId="24" fillId="0" borderId="0" applyNumberFormat="0" applyFill="0" applyProtection="0">
      <alignment horizontal="left"/>
    </xf>
    <xf numFmtId="0" fontId="25" fillId="0" borderId="0" applyNumberFormat="0" applyFill="0" applyProtection="0">
      <alignment horizontal="right"/>
    </xf>
  </cellStyleXfs>
  <cellXfs count="37">
    <xf numFmtId="0" fontId="0" fillId="0" borderId="0" xfId="0">
      <alignment vertical="top" wrapText="1"/>
    </xf>
    <xf numFmtId="165" fontId="0" fillId="0" borderId="0" xfId="0" applyNumberFormat="1">
      <alignment vertical="top" wrapText="1"/>
    </xf>
    <xf numFmtId="0" fontId="14" fillId="0" borderId="0" xfId="0" applyFont="1">
      <alignment vertical="top" wrapText="1"/>
    </xf>
    <xf numFmtId="0" fontId="15" fillId="0" borderId="0" xfId="0" applyFont="1">
      <alignment vertical="top" wrapText="1"/>
    </xf>
    <xf numFmtId="0" fontId="18" fillId="4" borderId="5" xfId="12" applyFont="1" applyFill="1" applyBorder="1" applyProtection="1">
      <alignment horizontal="left" vertical="center"/>
    </xf>
    <xf numFmtId="0" fontId="18" fillId="4" borderId="6" xfId="12" applyFont="1" applyFill="1" applyBorder="1" applyProtection="1">
      <alignment horizontal="left" vertical="center"/>
    </xf>
    <xf numFmtId="0" fontId="18" fillId="4" borderId="7" xfId="12" applyFont="1" applyFill="1" applyBorder="1" applyProtection="1">
      <alignment horizontal="left" vertical="center"/>
    </xf>
    <xf numFmtId="0" fontId="18" fillId="4" borderId="8" xfId="12" applyFont="1" applyFill="1" applyBorder="1" applyProtection="1">
      <alignment horizontal="left" vertical="center"/>
    </xf>
    <xf numFmtId="0" fontId="18" fillId="4" borderId="4" xfId="12" applyFont="1" applyFill="1" applyBorder="1" applyProtection="1">
      <alignment horizontal="left" vertical="center"/>
    </xf>
    <xf numFmtId="14" fontId="18" fillId="4" borderId="4" xfId="12" applyNumberFormat="1" applyFont="1" applyFill="1" applyBorder="1" applyProtection="1">
      <alignment horizontal="left" vertical="center"/>
    </xf>
    <xf numFmtId="0" fontId="19" fillId="4" borderId="4" xfId="0" applyFont="1" applyFill="1" applyBorder="1" applyAlignment="1">
      <alignment horizontal="left" vertical="center" wrapText="1" indent="1"/>
    </xf>
    <xf numFmtId="10" fontId="20" fillId="4" borderId="4" xfId="4" applyNumberFormat="1" applyFont="1" applyFill="1" applyBorder="1" applyAlignment="1" applyProtection="1">
      <alignment vertical="center"/>
    </xf>
    <xf numFmtId="166" fontId="18" fillId="4" borderId="4" xfId="12" applyNumberFormat="1" applyFont="1" applyFill="1" applyBorder="1" applyProtection="1">
      <alignment horizontal="left" vertical="center"/>
    </xf>
    <xf numFmtId="164" fontId="18" fillId="4" borderId="4" xfId="13" applyFont="1" applyFill="1" applyBorder="1" applyAlignment="1" applyProtection="1">
      <alignment horizontal="left" vertical="center"/>
    </xf>
    <xf numFmtId="0" fontId="18" fillId="4" borderId="9" xfId="12" applyFont="1" applyFill="1" applyBorder="1" applyProtection="1">
      <alignment horizontal="left" vertical="center"/>
    </xf>
    <xf numFmtId="0" fontId="20" fillId="4" borderId="4" xfId="0" applyNumberFormat="1" applyFont="1" applyFill="1" applyBorder="1" applyAlignment="1">
      <alignment horizontal="left" vertical="center"/>
    </xf>
    <xf numFmtId="0" fontId="20" fillId="4" borderId="9" xfId="0" applyNumberFormat="1" applyFont="1" applyFill="1" applyBorder="1" applyAlignment="1">
      <alignment vertical="center" wrapText="1"/>
    </xf>
    <xf numFmtId="0" fontId="21" fillId="4" borderId="10" xfId="0" applyFont="1" applyFill="1" applyBorder="1" applyAlignment="1">
      <alignment vertical="center"/>
    </xf>
    <xf numFmtId="0" fontId="21" fillId="4" borderId="11" xfId="0" applyFont="1" applyFill="1" applyBorder="1" applyAlignment="1">
      <alignment vertical="center"/>
    </xf>
    <xf numFmtId="0" fontId="21" fillId="4" borderId="11" xfId="0" applyFont="1" applyFill="1" applyBorder="1" applyAlignment="1">
      <alignment horizontal="center" vertical="center"/>
    </xf>
    <xf numFmtId="0" fontId="21" fillId="4" borderId="11" xfId="0" applyFont="1" applyFill="1" applyBorder="1" applyAlignment="1">
      <alignment horizontal="left" vertical="center"/>
    </xf>
    <xf numFmtId="0" fontId="21" fillId="4" borderId="11" xfId="0" applyNumberFormat="1" applyFont="1" applyFill="1" applyBorder="1" applyAlignment="1">
      <alignment vertical="center" wrapText="1"/>
    </xf>
    <xf numFmtId="49" fontId="22" fillId="4" borderId="11" xfId="0" applyNumberFormat="1" applyFont="1" applyFill="1" applyBorder="1" applyAlignment="1">
      <alignment vertical="center" wrapText="1"/>
    </xf>
    <xf numFmtId="166" fontId="22" fillId="4" borderId="11" xfId="0" applyNumberFormat="1" applyFont="1" applyFill="1" applyBorder="1" applyAlignment="1">
      <alignment vertical="center" wrapText="1"/>
    </xf>
    <xf numFmtId="0" fontId="21" fillId="4" borderId="12" xfId="0" applyFont="1" applyFill="1" applyBorder="1">
      <alignment vertical="top" wrapText="1"/>
    </xf>
    <xf numFmtId="0" fontId="19" fillId="5" borderId="4" xfId="0" applyFont="1" applyFill="1" applyBorder="1" applyAlignment="1">
      <alignment horizontal="left" vertical="center" wrapText="1" indent="1"/>
    </xf>
    <xf numFmtId="10" fontId="20" fillId="5" borderId="4" xfId="4" applyNumberFormat="1" applyFont="1" applyFill="1" applyBorder="1" applyAlignment="1" applyProtection="1">
      <alignment vertical="center"/>
    </xf>
    <xf numFmtId="0" fontId="18" fillId="5" borderId="4" xfId="12" applyFont="1" applyFill="1" applyBorder="1" applyProtection="1">
      <alignment horizontal="left" vertical="center"/>
    </xf>
    <xf numFmtId="166" fontId="18" fillId="5" borderId="4" xfId="12" applyNumberFormat="1" applyFont="1" applyFill="1" applyBorder="1" applyProtection="1">
      <alignment horizontal="left" vertical="center"/>
    </xf>
    <xf numFmtId="164" fontId="18" fillId="5" borderId="4" xfId="13" applyFont="1" applyFill="1" applyBorder="1" applyAlignment="1" applyProtection="1">
      <alignment horizontal="left" vertical="center"/>
    </xf>
    <xf numFmtId="169" fontId="20" fillId="4" borderId="4" xfId="0" applyNumberFormat="1" applyFont="1" applyFill="1" applyBorder="1" applyAlignment="1">
      <alignment horizontal="center" vertical="center"/>
    </xf>
    <xf numFmtId="14" fontId="18" fillId="5" borderId="4" xfId="12" applyNumberFormat="1" applyFont="1" applyFill="1" applyBorder="1" applyProtection="1">
      <alignment horizontal="left" vertical="center"/>
    </xf>
    <xf numFmtId="0" fontId="20" fillId="5" borderId="4" xfId="0" applyNumberFormat="1" applyFont="1" applyFill="1" applyBorder="1" applyAlignment="1">
      <alignment horizontal="left" vertical="center"/>
    </xf>
    <xf numFmtId="0" fontId="0" fillId="0" borderId="4" xfId="0" applyBorder="1">
      <alignment vertical="top" wrapText="1"/>
    </xf>
    <xf numFmtId="14" fontId="20" fillId="4" borderId="4" xfId="0" applyNumberFormat="1" applyFont="1" applyFill="1" applyBorder="1" applyAlignment="1">
      <alignment horizontal="left" vertical="center"/>
    </xf>
    <xf numFmtId="14" fontId="20" fillId="5" borderId="4" xfId="0" applyNumberFormat="1" applyFont="1" applyFill="1" applyBorder="1" applyAlignment="1">
      <alignment horizontal="left" vertical="center"/>
    </xf>
    <xf numFmtId="14" fontId="20" fillId="4" borderId="4" xfId="0" applyNumberFormat="1" applyFont="1" applyFill="1" applyBorder="1" applyAlignment="1">
      <alignment horizontal="left" vertical="top"/>
    </xf>
  </cellXfs>
  <cellStyles count="27">
    <cellStyle name="60% - Accent1" xfId="7" builtinId="32" customBuiltin="1"/>
    <cellStyle name="Currency" xfId="13" builtinId="4"/>
    <cellStyle name="Currency 2" xfId="19" xr:uid="{00000000-0005-0000-0000-000002000000}"/>
    <cellStyle name="Date" xfId="15" xr:uid="{00000000-0005-0000-0000-000003000000}"/>
    <cellStyle name="Date 2" xfId="20" xr:uid="{00000000-0005-0000-0000-000004000000}"/>
    <cellStyle name="Explanatory Text" xfId="10" builtinId="53" customBuiltin="1"/>
    <cellStyle name="Followed Hyperlink" xfId="5" builtinId="9" customBuiltin="1"/>
    <cellStyle name="Header Row" xfId="14" xr:uid="{00000000-0005-0000-0000-000007000000}"/>
    <cellStyle name="Heading 1" xfId="2" builtinId="16" customBuiltin="1"/>
    <cellStyle name="Heading 1 2" xfId="25" xr:uid="{00000000-0005-0000-0000-000009000000}"/>
    <cellStyle name="Heading 2" xfId="3" builtinId="17" customBuiltin="1"/>
    <cellStyle name="Heading 2 2" xfId="26" xr:uid="{00000000-0005-0000-0000-00000B000000}"/>
    <cellStyle name="Heading 3" xfId="8" builtinId="18" customBuiltin="1"/>
    <cellStyle name="Heading 3 2" xfId="22" xr:uid="{00000000-0005-0000-0000-00000D000000}"/>
    <cellStyle name="Heading 4" xfId="12" builtinId="19" customBuiltin="1"/>
    <cellStyle name="Heading 4 2" xfId="21" xr:uid="{00000000-0005-0000-0000-00000F000000}"/>
    <cellStyle name="Hyperlink" xfId="1" builtinId="8" customBuiltin="1"/>
    <cellStyle name="Label Text" xfId="17" xr:uid="{00000000-0005-0000-0000-000011000000}"/>
    <cellStyle name="Normal" xfId="0" builtinId="0" customBuiltin="1"/>
    <cellStyle name="Normal 2" xfId="18" xr:uid="{00000000-0005-0000-0000-000013000000}"/>
    <cellStyle name="Percent" xfId="4" builtinId="5"/>
    <cellStyle name="Phone" xfId="24" xr:uid="{00000000-0005-0000-0000-000015000000}"/>
    <cellStyle name="Table Text" xfId="16" xr:uid="{00000000-0005-0000-0000-000016000000}"/>
    <cellStyle name="Title" xfId="6" builtinId="15" customBuiltin="1"/>
    <cellStyle name="Title 2" xfId="23" xr:uid="{00000000-0005-0000-0000-000018000000}"/>
    <cellStyle name="Total" xfId="11" builtinId="25" customBuiltin="1"/>
    <cellStyle name="Warning Text" xfId="9" builtinId="11" customBuiltin="1"/>
  </cellStyles>
  <dxfs count="47"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6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6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auto="1"/>
      </font>
      <numFmt numFmtId="166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6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auto="1"/>
      </font>
      <numFmt numFmtId="166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auto="1"/>
      </font>
      <numFmt numFmtId="166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auto="1"/>
      </font>
      <numFmt numFmtId="14" formatCode="0.00%"/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auto="1"/>
      </font>
      <numFmt numFmtId="19" formatCode="m/d/yyyy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auto="1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color theme="1" tint="4.9989318521683403E-2"/>
      </font>
    </dxf>
    <dxf>
      <font>
        <b/>
        <color theme="4" tint="-0.249977111117893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0"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i val="0"/>
        <color auto="1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 val="0"/>
        <color theme="0"/>
      </font>
      <fill>
        <patternFill patternType="solid">
          <fgColor theme="4"/>
          <bgColor theme="4" tint="-0.499984740745262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gradientFill degree="90">
          <stop position="0">
            <color theme="3"/>
          </stop>
          <stop position="1">
            <color theme="3"/>
          </stop>
        </gradient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3" defaultTableStyle="Sales Invoice Table" defaultPivotStyle="PivotStyleLight16">
    <tableStyle name="Business Table" pivot="0" count="3" xr9:uid="{00000000-0011-0000-FFFF-FFFF00000000}">
      <tableStyleElement type="wholeTable" dxfId="46"/>
      <tableStyleElement type="headerRow" dxfId="45"/>
      <tableStyleElement type="secondRowStripe" dxfId="44"/>
    </tableStyle>
    <tableStyle name="InventoryTable" pivot="0" count="7" xr9:uid="{00000000-0011-0000-FFFF-FFFF01000000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firstRowStripe" dxfId="38"/>
      <tableStyleElement type="firstColumnStripe" dxfId="37"/>
    </tableStyle>
    <tableStyle name="Sales Invoice Table" pivot="0" count="7" xr9:uid="{00000000-0011-0000-FFFF-FFFF02000000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A99B2"/>
      <color rgb="FF0F57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InvoicesMain" displayName="InvoicesMain" ref="B4:L118" totalsRowCount="1" headerRowDxfId="29" dataDxfId="27" totalsRowDxfId="25" headerRowBorderDxfId="28" tableBorderDxfId="26" totalsRowBorderDxfId="24" headerRowCellStyle="Heading 4">
  <autoFilter ref="B4:L117" xr:uid="{00000000-0009-0000-0100-000003000000}"/>
  <tableColumns count="11">
    <tableColumn id="1" xr3:uid="{00000000-0010-0000-0000-000001000000}" name="Invoice #" totalsRowLabel="Totals" dataDxfId="23" totalsRowDxfId="22"/>
    <tableColumn id="12" xr3:uid="{00000000-0010-0000-0000-00000C000000}" name="CUSTOMER" dataDxfId="21" totalsRowDxfId="20" dataCellStyle="Heading 4"/>
    <tableColumn id="3" xr3:uid="{00000000-0010-0000-0000-000003000000}" name="Invoice Date" dataDxfId="19" totalsRowDxfId="18"/>
    <tableColumn id="4" xr3:uid="{00000000-0010-0000-0000-000004000000}" name="PRODUCT " dataDxfId="17" totalsRowDxfId="16"/>
    <tableColumn id="8" xr3:uid="{00000000-0010-0000-0000-000008000000}" name="Tax Rate" dataDxfId="15" totalsRowDxfId="14" dataCellStyle="Percent"/>
    <tableColumn id="11" xr3:uid="{00000000-0010-0000-0000-00000B000000}" name="ML" totalsRowFunction="sum" dataDxfId="13" totalsRowDxfId="12" dataCellStyle="Percent"/>
    <tableColumn id="6" xr3:uid="{00000000-0010-0000-0000-000006000000}" name="QTY" totalsRowFunction="sum" dataDxfId="11" totalsRowDxfId="10"/>
    <tableColumn id="7" xr3:uid="{00000000-0010-0000-0000-000007000000}" name="PRICE" totalsRowFunction="sum" dataDxfId="9" totalsRowDxfId="8">
      <calculatedColumnFormula>SUMIF(#REF!,"="&amp;InvoicesMain[[#This Row],[Invoice '#]],#REF!)</calculatedColumnFormula>
    </tableColumn>
    <tableColumn id="10" xr3:uid="{00000000-0010-0000-0000-00000A000000}" name="Invoice Total" totalsRowFunction="sum" dataDxfId="7" totalsRowDxfId="6">
      <calculatedColumnFormula>(InvoicesMain[[#This Row],[PRICE]]*(1+InvoicesMain[[#This Row],[Tax Rate]]))+#REF!-InvoicesMain[[#This Row],[QTY]]</calculatedColumnFormula>
    </tableColumn>
    <tableColumn id="9" xr3:uid="{00000000-0010-0000-0000-000009000000}" name="PAYMENT " dataDxfId="5" totalsRowDxfId="4" dataCellStyle="Heading 4"/>
    <tableColumn id="5" xr3:uid="{00000000-0010-0000-0000-000005000000}" name="NOTE" dataDxfId="3" totalsRowDxfId="2"/>
  </tableColumns>
  <tableStyleInfo name="Sales Invoice Table" showFirstColumn="0" showLastColumn="0" showRowStripes="1" showColumnStripes="0"/>
  <extLst>
    <ext xmlns:x14="http://schemas.microsoft.com/office/spreadsheetml/2009/9/main" uri="{504A1905-F514-4f6f-8877-14C23A59335A}">
      <x14:table altTextSummary="Invoice list with invoice #, company, invoice date, project description, tax rate, other, deposit, detail total, invoice total and notes"/>
    </ext>
  </extLst>
</table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/>
    <pageSetUpPr autoPageBreaks="0" fitToPage="1"/>
  </sheetPr>
  <dimension ref="A1:L118"/>
  <sheetViews>
    <sheetView showGridLines="0" tabSelected="1" topLeftCell="B31" zoomScale="115" zoomScaleNormal="115" workbookViewId="0">
      <selection activeCell="L50" sqref="L50"/>
    </sheetView>
  </sheetViews>
  <sheetFormatPr defaultColWidth="18.54296875" defaultRowHeight="14.5"/>
  <cols>
    <col min="1" max="1" width="18.26953125" bestFit="1" customWidth="1"/>
    <col min="2" max="2" width="11.453125" bestFit="1" customWidth="1"/>
    <col min="3" max="3" width="19.54296875" bestFit="1" customWidth="1"/>
    <col min="4" max="4" width="14.7265625" bestFit="1" customWidth="1"/>
    <col min="5" max="5" width="29.81640625" bestFit="1" customWidth="1"/>
    <col min="6" max="6" width="11.7265625" style="1" bestFit="1" customWidth="1"/>
    <col min="7" max="7" width="7.81640625" style="1" bestFit="1" customWidth="1"/>
    <col min="8" max="8" width="7.54296875" style="1" bestFit="1" customWidth="1"/>
    <col min="9" max="10" width="18.26953125" style="1" bestFit="1" customWidth="1"/>
    <col min="11" max="11" width="13.54296875" style="1" bestFit="1" customWidth="1"/>
    <col min="12" max="12" width="13.1796875" bestFit="1" customWidth="1"/>
  </cols>
  <sheetData>
    <row r="1" spans="1:12" ht="28.5">
      <c r="A1" s="2" t="s">
        <v>21</v>
      </c>
    </row>
    <row r="2" spans="1:12" ht="31">
      <c r="A2" s="3" t="s">
        <v>22</v>
      </c>
    </row>
    <row r="3" spans="1:12" ht="31">
      <c r="A3" s="3"/>
      <c r="I3" s="1">
        <v>4000</v>
      </c>
    </row>
    <row r="4" spans="1:12">
      <c r="A4" s="33" t="s">
        <v>59</v>
      </c>
      <c r="B4" s="4" t="s">
        <v>2</v>
      </c>
      <c r="C4" s="5" t="s">
        <v>14</v>
      </c>
      <c r="D4" s="5" t="s">
        <v>1</v>
      </c>
      <c r="E4" s="5" t="s">
        <v>6</v>
      </c>
      <c r="F4" s="5" t="s">
        <v>0</v>
      </c>
      <c r="G4" s="5" t="s">
        <v>13</v>
      </c>
      <c r="H4" s="5" t="s">
        <v>7</v>
      </c>
      <c r="I4" s="5" t="s">
        <v>9</v>
      </c>
      <c r="J4" s="5" t="s">
        <v>3</v>
      </c>
      <c r="K4" s="5" t="s">
        <v>29</v>
      </c>
      <c r="L4" s="6" t="s">
        <v>32</v>
      </c>
    </row>
    <row r="5" spans="1:12">
      <c r="A5" s="33" t="s">
        <v>5</v>
      </c>
      <c r="B5" s="7">
        <v>1</v>
      </c>
      <c r="C5" s="8" t="s">
        <v>15</v>
      </c>
      <c r="D5" s="31">
        <v>46053</v>
      </c>
      <c r="E5" s="25" t="s">
        <v>8</v>
      </c>
      <c r="F5" s="26">
        <v>0</v>
      </c>
      <c r="G5" s="25">
        <v>8</v>
      </c>
      <c r="H5" s="27">
        <v>80</v>
      </c>
      <c r="I5" s="28"/>
      <c r="J5" s="29">
        <f>InvoicesMain[[#This Row],[PRICE]]*InvoicesMain[[#This Row],[QTY]]</f>
        <v>0</v>
      </c>
      <c r="K5" s="29" t="s">
        <v>30</v>
      </c>
      <c r="L5" s="14"/>
    </row>
    <row r="6" spans="1:12">
      <c r="A6" s="33" t="s">
        <v>42</v>
      </c>
      <c r="B6" s="7">
        <f t="shared" ref="B6:B15" si="0">B5+1</f>
        <v>2</v>
      </c>
      <c r="C6" s="8" t="s">
        <v>16</v>
      </c>
      <c r="D6" s="31">
        <v>46053</v>
      </c>
      <c r="E6" s="25" t="s">
        <v>10</v>
      </c>
      <c r="F6" s="26">
        <v>0</v>
      </c>
      <c r="G6" s="25">
        <v>100</v>
      </c>
      <c r="H6" s="25">
        <v>1</v>
      </c>
      <c r="I6" s="28">
        <v>900</v>
      </c>
      <c r="J6" s="29">
        <f>InvoicesMain[[#This Row],[PRICE]]*InvoicesMain[[#This Row],[QTY]]</f>
        <v>900</v>
      </c>
      <c r="K6" s="29" t="s">
        <v>30</v>
      </c>
      <c r="L6" s="14"/>
    </row>
    <row r="7" spans="1:12">
      <c r="A7" s="33" t="s">
        <v>42</v>
      </c>
      <c r="B7" s="7">
        <f t="shared" si="0"/>
        <v>3</v>
      </c>
      <c r="C7" s="8" t="s">
        <v>16</v>
      </c>
      <c r="D7" s="31">
        <v>46053</v>
      </c>
      <c r="E7" s="25" t="s">
        <v>11</v>
      </c>
      <c r="F7" s="26">
        <v>0</v>
      </c>
      <c r="G7" s="25">
        <v>100</v>
      </c>
      <c r="H7" s="25">
        <v>1</v>
      </c>
      <c r="I7" s="28">
        <v>900</v>
      </c>
      <c r="J7" s="29">
        <f>InvoicesMain[[#This Row],[PRICE]]*InvoicesMain[[#This Row],[QTY]]</f>
        <v>900</v>
      </c>
      <c r="K7" s="29" t="s">
        <v>30</v>
      </c>
      <c r="L7" s="14"/>
    </row>
    <row r="8" spans="1:12">
      <c r="A8" s="33" t="s">
        <v>42</v>
      </c>
      <c r="B8" s="7">
        <f t="shared" si="0"/>
        <v>4</v>
      </c>
      <c r="C8" s="8" t="s">
        <v>58</v>
      </c>
      <c r="D8" s="31">
        <v>46053</v>
      </c>
      <c r="E8" s="25" t="s">
        <v>12</v>
      </c>
      <c r="F8" s="26">
        <v>0</v>
      </c>
      <c r="G8" s="25">
        <v>50</v>
      </c>
      <c r="H8" s="25">
        <v>1</v>
      </c>
      <c r="I8" s="28">
        <v>650</v>
      </c>
      <c r="J8" s="29">
        <f>InvoicesMain[[#This Row],[PRICE]]*InvoicesMain[[#This Row],[QTY]]</f>
        <v>650</v>
      </c>
      <c r="K8" s="29" t="s">
        <v>30</v>
      </c>
      <c r="L8" s="14"/>
    </row>
    <row r="9" spans="1:12">
      <c r="A9" s="33" t="s">
        <v>42</v>
      </c>
      <c r="B9" s="7">
        <f t="shared" si="0"/>
        <v>5</v>
      </c>
      <c r="C9" s="8" t="s">
        <v>18</v>
      </c>
      <c r="D9" s="31">
        <v>46053</v>
      </c>
      <c r="E9" s="25" t="s">
        <v>12</v>
      </c>
      <c r="F9" s="26">
        <v>0</v>
      </c>
      <c r="G9" s="25">
        <v>50</v>
      </c>
      <c r="H9" s="25">
        <v>1</v>
      </c>
      <c r="I9" s="28">
        <v>650</v>
      </c>
      <c r="J9" s="29">
        <f>InvoicesMain[[#This Row],[PRICE]]*InvoicesMain[[#This Row],[QTY]]</f>
        <v>650</v>
      </c>
      <c r="K9" s="29" t="s">
        <v>30</v>
      </c>
      <c r="L9" s="14"/>
    </row>
    <row r="10" spans="1:12">
      <c r="A10" s="33" t="s">
        <v>42</v>
      </c>
      <c r="B10" s="7">
        <f t="shared" si="0"/>
        <v>6</v>
      </c>
      <c r="C10" s="8" t="s">
        <v>19</v>
      </c>
      <c r="D10" s="31">
        <v>46053</v>
      </c>
      <c r="E10" s="25" t="s">
        <v>10</v>
      </c>
      <c r="F10" s="26">
        <v>0</v>
      </c>
      <c r="G10" s="25">
        <v>50</v>
      </c>
      <c r="H10" s="25">
        <v>1</v>
      </c>
      <c r="I10" s="28">
        <v>700</v>
      </c>
      <c r="J10" s="29">
        <f>InvoicesMain[[#This Row],[PRICE]]*InvoicesMain[[#This Row],[QTY]]</f>
        <v>700</v>
      </c>
      <c r="K10" s="29" t="s">
        <v>30</v>
      </c>
      <c r="L10" s="14"/>
    </row>
    <row r="11" spans="1:12">
      <c r="A11" s="33" t="s">
        <v>42</v>
      </c>
      <c r="B11" s="7">
        <f t="shared" si="0"/>
        <v>7</v>
      </c>
      <c r="C11" s="8" t="s">
        <v>17</v>
      </c>
      <c r="D11" s="31">
        <v>46053</v>
      </c>
      <c r="E11" s="25" t="s">
        <v>11</v>
      </c>
      <c r="F11" s="26">
        <v>0</v>
      </c>
      <c r="G11" s="25">
        <v>50</v>
      </c>
      <c r="H11" s="25">
        <v>1</v>
      </c>
      <c r="I11" s="28">
        <v>650</v>
      </c>
      <c r="J11" s="29">
        <f>InvoicesMain[[#This Row],[PRICE]]*InvoicesMain[[#This Row],[QTY]]</f>
        <v>650</v>
      </c>
      <c r="K11" s="29" t="s">
        <v>30</v>
      </c>
      <c r="L11" s="14" t="s">
        <v>5</v>
      </c>
    </row>
    <row r="12" spans="1:12">
      <c r="A12" s="33" t="s">
        <v>23</v>
      </c>
      <c r="B12" s="7">
        <f t="shared" si="0"/>
        <v>8</v>
      </c>
      <c r="C12" s="8" t="s">
        <v>23</v>
      </c>
      <c r="D12" s="31">
        <v>46032</v>
      </c>
      <c r="E12" s="27" t="s">
        <v>24</v>
      </c>
      <c r="F12" s="26">
        <v>0</v>
      </c>
      <c r="G12" s="25">
        <v>100</v>
      </c>
      <c r="H12" s="25">
        <v>1</v>
      </c>
      <c r="I12" s="28">
        <v>0</v>
      </c>
      <c r="J12" s="29">
        <v>0</v>
      </c>
      <c r="K12" s="29"/>
      <c r="L12" s="14" t="s">
        <v>25</v>
      </c>
    </row>
    <row r="13" spans="1:12">
      <c r="A13" s="33" t="s">
        <v>60</v>
      </c>
      <c r="B13" s="7">
        <f t="shared" si="0"/>
        <v>9</v>
      </c>
      <c r="C13" s="8" t="s">
        <v>26</v>
      </c>
      <c r="D13" s="31">
        <v>46032</v>
      </c>
      <c r="E13" s="27" t="s">
        <v>24</v>
      </c>
      <c r="F13" s="26">
        <v>0</v>
      </c>
      <c r="G13" s="25">
        <v>100</v>
      </c>
      <c r="H13" s="25">
        <v>1</v>
      </c>
      <c r="I13" s="28">
        <v>0</v>
      </c>
      <c r="J13" s="29">
        <v>0</v>
      </c>
      <c r="K13" s="29"/>
      <c r="L13" s="14" t="s">
        <v>25</v>
      </c>
    </row>
    <row r="14" spans="1:12">
      <c r="A14" s="33" t="s">
        <v>61</v>
      </c>
      <c r="B14" s="7">
        <f t="shared" si="0"/>
        <v>10</v>
      </c>
      <c r="C14" s="8" t="s">
        <v>27</v>
      </c>
      <c r="D14" s="9">
        <v>46032</v>
      </c>
      <c r="E14" s="15" t="s">
        <v>77</v>
      </c>
      <c r="F14" s="11">
        <v>0</v>
      </c>
      <c r="G14" s="10">
        <v>100</v>
      </c>
      <c r="H14" s="10">
        <v>1</v>
      </c>
      <c r="I14" s="12">
        <v>600</v>
      </c>
      <c r="J14" s="13">
        <v>600</v>
      </c>
      <c r="K14" s="13"/>
      <c r="L14" s="14" t="s">
        <v>5</v>
      </c>
    </row>
    <row r="15" spans="1:12">
      <c r="A15" s="33" t="s">
        <v>60</v>
      </c>
      <c r="B15" s="7">
        <f t="shared" si="0"/>
        <v>11</v>
      </c>
      <c r="C15" s="8" t="s">
        <v>37</v>
      </c>
      <c r="D15" s="31">
        <v>46053</v>
      </c>
      <c r="E15" s="32" t="s">
        <v>28</v>
      </c>
      <c r="F15" s="26">
        <v>0</v>
      </c>
      <c r="G15" s="25">
        <v>20</v>
      </c>
      <c r="H15" s="25">
        <v>1</v>
      </c>
      <c r="I15" s="28">
        <v>0</v>
      </c>
      <c r="J15" s="29">
        <v>0</v>
      </c>
      <c r="K15" s="29" t="s">
        <v>30</v>
      </c>
      <c r="L15" s="14" t="s">
        <v>25</v>
      </c>
    </row>
    <row r="16" spans="1:12">
      <c r="A16" s="33" t="s">
        <v>61</v>
      </c>
      <c r="B16" s="7">
        <f>B15+1</f>
        <v>12</v>
      </c>
      <c r="C16" s="8" t="s">
        <v>31</v>
      </c>
      <c r="D16" s="31">
        <v>46065</v>
      </c>
      <c r="E16" s="32" t="s">
        <v>10</v>
      </c>
      <c r="F16" s="26">
        <v>0</v>
      </c>
      <c r="G16" s="25">
        <v>20</v>
      </c>
      <c r="H16" s="25">
        <v>1</v>
      </c>
      <c r="I16" s="28">
        <v>180</v>
      </c>
      <c r="J16" s="29">
        <v>180</v>
      </c>
      <c r="K16" s="27" t="s">
        <v>30</v>
      </c>
      <c r="L16" s="16"/>
    </row>
    <row r="17" spans="1:12">
      <c r="A17" s="33" t="s">
        <v>42</v>
      </c>
      <c r="B17" s="7">
        <f t="shared" ref="B17:B80" si="1">B16+1</f>
        <v>13</v>
      </c>
      <c r="C17" s="8" t="s">
        <v>63</v>
      </c>
      <c r="D17" s="31">
        <v>46069</v>
      </c>
      <c r="E17" s="32" t="s">
        <v>12</v>
      </c>
      <c r="F17" s="26">
        <v>0</v>
      </c>
      <c r="G17" s="25">
        <v>20</v>
      </c>
      <c r="H17" s="25">
        <v>1</v>
      </c>
      <c r="I17" s="28">
        <v>250</v>
      </c>
      <c r="J17" s="28">
        <v>250</v>
      </c>
      <c r="K17" s="27" t="s">
        <v>30</v>
      </c>
      <c r="L17" s="16"/>
    </row>
    <row r="18" spans="1:12">
      <c r="A18" s="33" t="s">
        <v>42</v>
      </c>
      <c r="B18" s="7">
        <f t="shared" si="1"/>
        <v>14</v>
      </c>
      <c r="C18" s="8" t="s">
        <v>63</v>
      </c>
      <c r="D18" s="31">
        <v>46069</v>
      </c>
      <c r="E18" s="32" t="s">
        <v>10</v>
      </c>
      <c r="F18" s="26">
        <v>0</v>
      </c>
      <c r="G18" s="25">
        <v>20</v>
      </c>
      <c r="H18" s="25">
        <v>1</v>
      </c>
      <c r="I18" s="28">
        <v>250</v>
      </c>
      <c r="J18" s="28">
        <v>250</v>
      </c>
      <c r="K18" s="27" t="s">
        <v>30</v>
      </c>
      <c r="L18" s="16"/>
    </row>
    <row r="19" spans="1:12">
      <c r="A19" s="33" t="s">
        <v>62</v>
      </c>
      <c r="B19" s="7">
        <f t="shared" si="1"/>
        <v>15</v>
      </c>
      <c r="C19" s="8" t="s">
        <v>35</v>
      </c>
      <c r="D19" s="31">
        <v>46069</v>
      </c>
      <c r="E19" s="32" t="s">
        <v>34</v>
      </c>
      <c r="F19" s="26">
        <v>0</v>
      </c>
      <c r="G19" s="25">
        <v>20</v>
      </c>
      <c r="H19" s="25">
        <v>1</v>
      </c>
      <c r="I19" s="28">
        <v>250</v>
      </c>
      <c r="J19" s="28">
        <v>250</v>
      </c>
      <c r="K19" s="29" t="s">
        <v>30</v>
      </c>
      <c r="L19" s="16"/>
    </row>
    <row r="20" spans="1:12">
      <c r="A20" s="33" t="s">
        <v>62</v>
      </c>
      <c r="B20" s="7">
        <f t="shared" si="1"/>
        <v>16</v>
      </c>
      <c r="C20" s="8" t="s">
        <v>65</v>
      </c>
      <c r="D20" s="31">
        <v>46069</v>
      </c>
      <c r="E20" s="32" t="s">
        <v>24</v>
      </c>
      <c r="F20" s="26">
        <v>0</v>
      </c>
      <c r="G20" s="25">
        <v>20</v>
      </c>
      <c r="H20" s="25">
        <v>1</v>
      </c>
      <c r="I20" s="28">
        <v>250</v>
      </c>
      <c r="J20" s="28">
        <v>250</v>
      </c>
      <c r="K20" s="29" t="s">
        <v>30</v>
      </c>
      <c r="L20" s="16"/>
    </row>
    <row r="21" spans="1:12">
      <c r="A21" s="33" t="s">
        <v>60</v>
      </c>
      <c r="B21" s="7">
        <f t="shared" si="1"/>
        <v>17</v>
      </c>
      <c r="C21" s="8" t="s">
        <v>64</v>
      </c>
      <c r="D21" s="31">
        <v>46069</v>
      </c>
      <c r="E21" s="32" t="s">
        <v>36</v>
      </c>
      <c r="F21" s="26">
        <v>0</v>
      </c>
      <c r="G21" s="25">
        <v>20</v>
      </c>
      <c r="H21" s="25">
        <v>1</v>
      </c>
      <c r="I21" s="28">
        <v>300</v>
      </c>
      <c r="J21" s="28">
        <v>300</v>
      </c>
      <c r="K21" s="27" t="s">
        <v>30</v>
      </c>
      <c r="L21" s="16"/>
    </row>
    <row r="22" spans="1:12">
      <c r="A22" s="33" t="s">
        <v>60</v>
      </c>
      <c r="B22" s="7">
        <f t="shared" si="1"/>
        <v>18</v>
      </c>
      <c r="C22" s="8" t="s">
        <v>37</v>
      </c>
      <c r="D22" s="31">
        <v>46069</v>
      </c>
      <c r="E22" s="32" t="s">
        <v>36</v>
      </c>
      <c r="F22" s="26">
        <v>0</v>
      </c>
      <c r="G22" s="25">
        <v>100</v>
      </c>
      <c r="H22" s="25">
        <v>1</v>
      </c>
      <c r="I22" s="28">
        <v>450</v>
      </c>
      <c r="J22" s="29">
        <v>450</v>
      </c>
      <c r="K22" s="27" t="s">
        <v>30</v>
      </c>
      <c r="L22" s="16"/>
    </row>
    <row r="23" spans="1:12">
      <c r="A23" s="33" t="s">
        <v>60</v>
      </c>
      <c r="B23" s="7">
        <f t="shared" si="1"/>
        <v>19</v>
      </c>
      <c r="C23" s="8" t="s">
        <v>37</v>
      </c>
      <c r="D23" s="31">
        <v>46069</v>
      </c>
      <c r="E23" s="32" t="s">
        <v>33</v>
      </c>
      <c r="F23" s="26">
        <v>0</v>
      </c>
      <c r="G23" s="25">
        <v>100</v>
      </c>
      <c r="H23" s="25">
        <v>1</v>
      </c>
      <c r="I23" s="28">
        <v>450</v>
      </c>
      <c r="J23" s="29">
        <v>450</v>
      </c>
      <c r="K23" s="27" t="s">
        <v>30</v>
      </c>
      <c r="L23" s="16"/>
    </row>
    <row r="24" spans="1:12">
      <c r="A24" s="33" t="s">
        <v>61</v>
      </c>
      <c r="B24" s="7">
        <f t="shared" si="1"/>
        <v>20</v>
      </c>
      <c r="C24" s="8" t="s">
        <v>31</v>
      </c>
      <c r="D24" s="31">
        <v>46070</v>
      </c>
      <c r="E24" s="32" t="s">
        <v>24</v>
      </c>
      <c r="F24" s="26">
        <v>0</v>
      </c>
      <c r="G24" s="25">
        <v>20</v>
      </c>
      <c r="H24" s="25">
        <v>1</v>
      </c>
      <c r="I24" s="28">
        <v>180</v>
      </c>
      <c r="J24" s="28">
        <f>InvoicesMain[[#This Row],[PRICE]]</f>
        <v>180</v>
      </c>
      <c r="K24" s="27" t="s">
        <v>30</v>
      </c>
      <c r="L24" s="16"/>
    </row>
    <row r="25" spans="1:12">
      <c r="A25" s="33" t="s">
        <v>42</v>
      </c>
      <c r="B25" s="7">
        <f t="shared" si="1"/>
        <v>21</v>
      </c>
      <c r="C25" s="8" t="s">
        <v>38</v>
      </c>
      <c r="D25" s="31">
        <v>46072</v>
      </c>
      <c r="E25" s="32" t="s">
        <v>39</v>
      </c>
      <c r="F25" s="26">
        <v>0</v>
      </c>
      <c r="G25" s="25">
        <v>20</v>
      </c>
      <c r="H25" s="25">
        <v>1</v>
      </c>
      <c r="I25" s="28">
        <v>250</v>
      </c>
      <c r="J25" s="29">
        <f>InvoicesMain[[#This Row],[PRICE]]</f>
        <v>250</v>
      </c>
      <c r="K25" s="29" t="s">
        <v>30</v>
      </c>
      <c r="L25" s="16"/>
    </row>
    <row r="26" spans="1:12">
      <c r="A26" s="33" t="s">
        <v>42</v>
      </c>
      <c r="B26" s="7">
        <f t="shared" si="1"/>
        <v>22</v>
      </c>
      <c r="C26" s="8" t="s">
        <v>38</v>
      </c>
      <c r="D26" s="31">
        <v>46072</v>
      </c>
      <c r="E26" s="32" t="s">
        <v>36</v>
      </c>
      <c r="F26" s="26">
        <v>0</v>
      </c>
      <c r="G26" s="25">
        <v>20</v>
      </c>
      <c r="H26" s="25">
        <v>1</v>
      </c>
      <c r="I26" s="28">
        <v>200</v>
      </c>
      <c r="J26" s="29">
        <f>InvoicesMain[[#This Row],[PRICE]]</f>
        <v>200</v>
      </c>
      <c r="K26" s="29" t="s">
        <v>30</v>
      </c>
      <c r="L26" s="16"/>
    </row>
    <row r="27" spans="1:12">
      <c r="A27" s="33" t="s">
        <v>42</v>
      </c>
      <c r="B27" s="7">
        <f t="shared" si="1"/>
        <v>23</v>
      </c>
      <c r="C27" s="8" t="s">
        <v>40</v>
      </c>
      <c r="D27" s="31">
        <v>46072</v>
      </c>
      <c r="E27" s="32" t="s">
        <v>10</v>
      </c>
      <c r="F27" s="26">
        <v>0</v>
      </c>
      <c r="G27" s="25">
        <v>30</v>
      </c>
      <c r="H27" s="25">
        <v>1</v>
      </c>
      <c r="I27" s="28">
        <v>400</v>
      </c>
      <c r="J27" s="29">
        <f>InvoicesMain[[#This Row],[PRICE]]</f>
        <v>400</v>
      </c>
      <c r="K27" s="29" t="s">
        <v>30</v>
      </c>
      <c r="L27" s="16"/>
    </row>
    <row r="28" spans="1:12">
      <c r="A28" s="33" t="s">
        <v>42</v>
      </c>
      <c r="B28" s="7">
        <f t="shared" si="1"/>
        <v>24</v>
      </c>
      <c r="C28" s="8" t="s">
        <v>40</v>
      </c>
      <c r="D28" s="31">
        <v>46072</v>
      </c>
      <c r="E28" s="32" t="s">
        <v>28</v>
      </c>
      <c r="F28" s="26">
        <v>0</v>
      </c>
      <c r="G28" s="25">
        <v>30</v>
      </c>
      <c r="H28" s="25">
        <v>1</v>
      </c>
      <c r="I28" s="28">
        <v>350</v>
      </c>
      <c r="J28" s="29">
        <f>InvoicesMain[[#This Row],[PRICE]]</f>
        <v>350</v>
      </c>
      <c r="K28" s="29" t="s">
        <v>30</v>
      </c>
      <c r="L28" s="16"/>
    </row>
    <row r="29" spans="1:12">
      <c r="A29" s="33" t="s">
        <v>42</v>
      </c>
      <c r="B29" s="7">
        <f t="shared" si="1"/>
        <v>25</v>
      </c>
      <c r="C29" s="8" t="s">
        <v>41</v>
      </c>
      <c r="D29" s="31">
        <v>46072</v>
      </c>
      <c r="E29" s="32" t="s">
        <v>28</v>
      </c>
      <c r="F29" s="26">
        <v>0</v>
      </c>
      <c r="G29" s="25">
        <v>30</v>
      </c>
      <c r="H29" s="25">
        <v>1</v>
      </c>
      <c r="I29" s="28">
        <v>350</v>
      </c>
      <c r="J29" s="29">
        <f>InvoicesMain[[#This Row],[PRICE]]</f>
        <v>350</v>
      </c>
      <c r="K29" s="29" t="s">
        <v>30</v>
      </c>
      <c r="L29" s="16"/>
    </row>
    <row r="30" spans="1:12">
      <c r="A30" s="33" t="s">
        <v>60</v>
      </c>
      <c r="B30" s="7">
        <f t="shared" si="1"/>
        <v>26</v>
      </c>
      <c r="C30" s="8" t="s">
        <v>26</v>
      </c>
      <c r="D30" s="31">
        <v>46072</v>
      </c>
      <c r="E30" s="32" t="s">
        <v>28</v>
      </c>
      <c r="F30" s="26">
        <v>0</v>
      </c>
      <c r="G30" s="25">
        <v>20</v>
      </c>
      <c r="H30" s="25">
        <v>1</v>
      </c>
      <c r="I30" s="28">
        <v>200</v>
      </c>
      <c r="J30" s="29">
        <f>InvoicesMain[[#This Row],[PRICE]]</f>
        <v>200</v>
      </c>
      <c r="K30" s="27" t="s">
        <v>30</v>
      </c>
      <c r="L30" s="16"/>
    </row>
    <row r="31" spans="1:12">
      <c r="A31" s="33" t="s">
        <v>42</v>
      </c>
      <c r="B31" s="7">
        <f t="shared" si="1"/>
        <v>27</v>
      </c>
      <c r="C31" s="8" t="s">
        <v>42</v>
      </c>
      <c r="D31" s="31">
        <v>46073</v>
      </c>
      <c r="E31" s="32" t="s">
        <v>24</v>
      </c>
      <c r="F31" s="26">
        <v>0</v>
      </c>
      <c r="G31" s="25">
        <v>30</v>
      </c>
      <c r="H31" s="25">
        <v>1</v>
      </c>
      <c r="I31" s="28">
        <v>150</v>
      </c>
      <c r="J31" s="29">
        <f>InvoicesMain[[#This Row],[PRICE]]</f>
        <v>150</v>
      </c>
      <c r="K31" s="27" t="s">
        <v>30</v>
      </c>
      <c r="L31" s="16" t="s">
        <v>25</v>
      </c>
    </row>
    <row r="32" spans="1:12">
      <c r="A32" s="33" t="s">
        <v>42</v>
      </c>
      <c r="B32" s="7">
        <f t="shared" si="1"/>
        <v>28</v>
      </c>
      <c r="C32" s="8" t="s">
        <v>42</v>
      </c>
      <c r="D32" s="31">
        <v>46073</v>
      </c>
      <c r="E32" s="32" t="s">
        <v>11</v>
      </c>
      <c r="F32" s="26">
        <v>0</v>
      </c>
      <c r="G32" s="25">
        <v>30</v>
      </c>
      <c r="H32" s="25">
        <v>1</v>
      </c>
      <c r="I32" s="28">
        <v>150</v>
      </c>
      <c r="J32" s="29">
        <f>InvoicesMain[[#This Row],[PRICE]]</f>
        <v>150</v>
      </c>
      <c r="K32" s="27" t="s">
        <v>30</v>
      </c>
      <c r="L32" s="16" t="s">
        <v>25</v>
      </c>
    </row>
    <row r="33" spans="1:12">
      <c r="A33" s="33" t="s">
        <v>42</v>
      </c>
      <c r="B33" s="7">
        <f t="shared" si="1"/>
        <v>29</v>
      </c>
      <c r="C33" s="8" t="s">
        <v>43</v>
      </c>
      <c r="D33" s="31">
        <v>46073</v>
      </c>
      <c r="E33" s="32" t="s">
        <v>33</v>
      </c>
      <c r="F33" s="26">
        <v>0</v>
      </c>
      <c r="G33" s="25">
        <v>20</v>
      </c>
      <c r="H33" s="25">
        <v>1</v>
      </c>
      <c r="I33" s="28">
        <v>250</v>
      </c>
      <c r="J33" s="29">
        <f>InvoicesMain[[#This Row],[PRICE]]</f>
        <v>250</v>
      </c>
      <c r="K33" s="27" t="s">
        <v>30</v>
      </c>
      <c r="L33" s="16"/>
    </row>
    <row r="34" spans="1:12">
      <c r="A34" s="33" t="s">
        <v>42</v>
      </c>
      <c r="B34" s="7">
        <f t="shared" si="1"/>
        <v>30</v>
      </c>
      <c r="C34" s="8" t="s">
        <v>44</v>
      </c>
      <c r="D34" s="31">
        <v>46074</v>
      </c>
      <c r="E34" s="32" t="s">
        <v>10</v>
      </c>
      <c r="F34" s="26">
        <v>0</v>
      </c>
      <c r="G34" s="25">
        <v>20</v>
      </c>
      <c r="H34" s="25">
        <v>1</v>
      </c>
      <c r="I34" s="28">
        <v>250</v>
      </c>
      <c r="J34" s="29">
        <f>InvoicesMain[[#This Row],[PRICE]]</f>
        <v>250</v>
      </c>
      <c r="K34" s="27" t="s">
        <v>30</v>
      </c>
      <c r="L34" s="16"/>
    </row>
    <row r="35" spans="1:12">
      <c r="A35" s="33" t="s">
        <v>42</v>
      </c>
      <c r="B35" s="7">
        <f t="shared" si="1"/>
        <v>31</v>
      </c>
      <c r="C35" s="8" t="s">
        <v>44</v>
      </c>
      <c r="D35" s="31">
        <v>46074</v>
      </c>
      <c r="E35" s="32" t="s">
        <v>12</v>
      </c>
      <c r="F35" s="26">
        <v>0</v>
      </c>
      <c r="G35" s="25">
        <v>20</v>
      </c>
      <c r="H35" s="25">
        <v>1</v>
      </c>
      <c r="I35" s="28">
        <v>250</v>
      </c>
      <c r="J35" s="29">
        <f>InvoicesMain[[#This Row],[PRICE]]</f>
        <v>250</v>
      </c>
      <c r="K35" s="27" t="s">
        <v>30</v>
      </c>
      <c r="L35" s="16"/>
    </row>
    <row r="36" spans="1:12">
      <c r="A36" s="33" t="s">
        <v>42</v>
      </c>
      <c r="B36" s="7">
        <f t="shared" si="1"/>
        <v>32</v>
      </c>
      <c r="C36" s="8" t="s">
        <v>44</v>
      </c>
      <c r="D36" s="31">
        <v>46074</v>
      </c>
      <c r="E36" s="32" t="s">
        <v>45</v>
      </c>
      <c r="F36" s="26">
        <v>0</v>
      </c>
      <c r="G36" s="25">
        <v>20</v>
      </c>
      <c r="H36" s="25">
        <v>1</v>
      </c>
      <c r="I36" s="28">
        <v>250</v>
      </c>
      <c r="J36" s="29">
        <f>InvoicesMain[[#This Row],[PRICE]]</f>
        <v>250</v>
      </c>
      <c r="K36" s="27" t="s">
        <v>30</v>
      </c>
      <c r="L36" s="16"/>
    </row>
    <row r="37" spans="1:12">
      <c r="A37" s="33" t="s">
        <v>42</v>
      </c>
      <c r="B37" s="7">
        <f t="shared" si="1"/>
        <v>33</v>
      </c>
      <c r="C37" s="8" t="s">
        <v>20</v>
      </c>
      <c r="D37" s="31">
        <v>46074</v>
      </c>
      <c r="E37" s="32" t="s">
        <v>46</v>
      </c>
      <c r="F37" s="26">
        <v>0</v>
      </c>
      <c r="G37" s="25">
        <v>50</v>
      </c>
      <c r="H37" s="25">
        <v>1</v>
      </c>
      <c r="I37" s="28">
        <v>650</v>
      </c>
      <c r="J37" s="29">
        <f>InvoicesMain[[#This Row],[PRICE]]</f>
        <v>650</v>
      </c>
      <c r="K37" s="27" t="s">
        <v>30</v>
      </c>
      <c r="L37" s="16"/>
    </row>
    <row r="38" spans="1:12">
      <c r="A38" s="33" t="s">
        <v>42</v>
      </c>
      <c r="B38" s="7">
        <f t="shared" si="1"/>
        <v>34</v>
      </c>
      <c r="C38" s="8" t="s">
        <v>20</v>
      </c>
      <c r="D38" s="31">
        <v>46079</v>
      </c>
      <c r="E38" s="32" t="s">
        <v>46</v>
      </c>
      <c r="F38" s="26">
        <v>0</v>
      </c>
      <c r="G38" s="25">
        <v>100</v>
      </c>
      <c r="H38" s="25">
        <v>1</v>
      </c>
      <c r="I38" s="28">
        <v>900</v>
      </c>
      <c r="J38" s="29">
        <f>InvoicesMain[[#This Row],[PRICE]]</f>
        <v>900</v>
      </c>
      <c r="K38" s="27" t="s">
        <v>30</v>
      </c>
      <c r="L38" s="16"/>
    </row>
    <row r="39" spans="1:12">
      <c r="A39" s="33" t="s">
        <v>42</v>
      </c>
      <c r="B39" s="7">
        <f t="shared" si="1"/>
        <v>35</v>
      </c>
      <c r="C39" s="8" t="s">
        <v>47</v>
      </c>
      <c r="D39" s="31">
        <v>46079</v>
      </c>
      <c r="E39" s="32" t="s">
        <v>28</v>
      </c>
      <c r="F39" s="26">
        <v>0</v>
      </c>
      <c r="G39" s="25">
        <v>20</v>
      </c>
      <c r="H39" s="25">
        <v>1</v>
      </c>
      <c r="I39" s="28">
        <v>200</v>
      </c>
      <c r="J39" s="29">
        <f>InvoicesMain[[#This Row],[PRICE]]</f>
        <v>200</v>
      </c>
      <c r="K39" s="27" t="s">
        <v>30</v>
      </c>
      <c r="L39" s="16"/>
    </row>
    <row r="40" spans="1:12">
      <c r="A40" s="33" t="s">
        <v>42</v>
      </c>
      <c r="B40" s="7">
        <f t="shared" si="1"/>
        <v>36</v>
      </c>
      <c r="C40" s="8" t="s">
        <v>47</v>
      </c>
      <c r="D40" s="31">
        <v>46079</v>
      </c>
      <c r="E40" s="32" t="s">
        <v>51</v>
      </c>
      <c r="F40" s="26">
        <v>0</v>
      </c>
      <c r="G40" s="25">
        <v>20</v>
      </c>
      <c r="H40" s="25">
        <v>1</v>
      </c>
      <c r="I40" s="28">
        <v>250</v>
      </c>
      <c r="J40" s="29">
        <f>InvoicesMain[[#This Row],[PRICE]]</f>
        <v>250</v>
      </c>
      <c r="K40" s="27" t="s">
        <v>30</v>
      </c>
      <c r="L40" s="16"/>
    </row>
    <row r="41" spans="1:12">
      <c r="A41" s="33" t="s">
        <v>42</v>
      </c>
      <c r="B41" s="7">
        <f t="shared" si="1"/>
        <v>37</v>
      </c>
      <c r="C41" s="8" t="s">
        <v>48</v>
      </c>
      <c r="D41" s="31">
        <v>46079</v>
      </c>
      <c r="E41" s="32" t="s">
        <v>52</v>
      </c>
      <c r="F41" s="26">
        <v>0</v>
      </c>
      <c r="G41" s="25">
        <v>20</v>
      </c>
      <c r="H41" s="25">
        <v>1</v>
      </c>
      <c r="I41" s="28">
        <v>250</v>
      </c>
      <c r="J41" s="29">
        <f>InvoicesMain[[#This Row],[PRICE]]</f>
        <v>250</v>
      </c>
      <c r="K41" s="27" t="s">
        <v>30</v>
      </c>
      <c r="L41" s="16"/>
    </row>
    <row r="42" spans="1:12">
      <c r="A42" s="33" t="s">
        <v>42</v>
      </c>
      <c r="B42" s="7">
        <f t="shared" si="1"/>
        <v>38</v>
      </c>
      <c r="C42" s="8" t="s">
        <v>48</v>
      </c>
      <c r="D42" s="31">
        <v>46079</v>
      </c>
      <c r="E42" s="32" t="s">
        <v>51</v>
      </c>
      <c r="F42" s="26">
        <v>0</v>
      </c>
      <c r="G42" s="25">
        <v>20</v>
      </c>
      <c r="H42" s="25">
        <v>1</v>
      </c>
      <c r="I42" s="28">
        <v>250</v>
      </c>
      <c r="J42" s="29">
        <f>InvoicesMain[[#This Row],[PRICE]]</f>
        <v>250</v>
      </c>
      <c r="K42" s="27" t="s">
        <v>30</v>
      </c>
      <c r="L42" s="16"/>
    </row>
    <row r="43" spans="1:12">
      <c r="A43" s="33" t="s">
        <v>42</v>
      </c>
      <c r="B43" s="7">
        <f t="shared" si="1"/>
        <v>39</v>
      </c>
      <c r="C43" s="8" t="s">
        <v>49</v>
      </c>
      <c r="D43" s="31">
        <v>46079</v>
      </c>
      <c r="E43" s="32" t="s">
        <v>52</v>
      </c>
      <c r="F43" s="26">
        <v>0</v>
      </c>
      <c r="G43" s="25">
        <v>20</v>
      </c>
      <c r="H43" s="25">
        <v>1</v>
      </c>
      <c r="I43" s="28">
        <v>250</v>
      </c>
      <c r="J43" s="29">
        <f>InvoicesMain[[#This Row],[PRICE]]</f>
        <v>250</v>
      </c>
      <c r="K43" s="27" t="s">
        <v>30</v>
      </c>
      <c r="L43" s="16"/>
    </row>
    <row r="44" spans="1:12">
      <c r="A44" s="33" t="s">
        <v>42</v>
      </c>
      <c r="B44" s="7">
        <f t="shared" si="1"/>
        <v>40</v>
      </c>
      <c r="C44" s="8" t="s">
        <v>49</v>
      </c>
      <c r="D44" s="31">
        <v>46079</v>
      </c>
      <c r="E44" s="32" t="s">
        <v>10</v>
      </c>
      <c r="F44" s="26">
        <v>0</v>
      </c>
      <c r="G44" s="25">
        <v>20</v>
      </c>
      <c r="H44" s="25">
        <v>1</v>
      </c>
      <c r="I44" s="28">
        <v>250</v>
      </c>
      <c r="J44" s="29">
        <f>InvoicesMain[[#This Row],[PRICE]]</f>
        <v>250</v>
      </c>
      <c r="K44" s="27" t="s">
        <v>30</v>
      </c>
      <c r="L44" s="16"/>
    </row>
    <row r="45" spans="1:12">
      <c r="A45" s="33" t="s">
        <v>62</v>
      </c>
      <c r="B45" s="7">
        <f t="shared" si="1"/>
        <v>41</v>
      </c>
      <c r="C45" s="8" t="s">
        <v>57</v>
      </c>
      <c r="D45" s="31">
        <v>46079</v>
      </c>
      <c r="E45" s="32" t="s">
        <v>34</v>
      </c>
      <c r="F45" s="26">
        <v>0</v>
      </c>
      <c r="G45" s="25">
        <v>20</v>
      </c>
      <c r="H45" s="25">
        <v>1</v>
      </c>
      <c r="I45" s="28">
        <v>250</v>
      </c>
      <c r="J45" s="28">
        <f>InvoicesMain[[#This Row],[PRICE]]</f>
        <v>250</v>
      </c>
      <c r="K45" s="27" t="s">
        <v>30</v>
      </c>
      <c r="L45" s="16"/>
    </row>
    <row r="46" spans="1:12">
      <c r="A46" s="33" t="s">
        <v>62</v>
      </c>
      <c r="B46" s="7">
        <f t="shared" si="1"/>
        <v>42</v>
      </c>
      <c r="C46" s="8" t="s">
        <v>57</v>
      </c>
      <c r="D46" s="31">
        <v>46079</v>
      </c>
      <c r="E46" s="32" t="s">
        <v>10</v>
      </c>
      <c r="F46" s="26">
        <v>0</v>
      </c>
      <c r="G46" s="25">
        <v>20</v>
      </c>
      <c r="H46" s="25">
        <v>1</v>
      </c>
      <c r="I46" s="28">
        <v>350</v>
      </c>
      <c r="J46" s="28">
        <f>InvoicesMain[[#This Row],[PRICE]]</f>
        <v>350</v>
      </c>
      <c r="K46" s="27" t="s">
        <v>30</v>
      </c>
      <c r="L46" s="16"/>
    </row>
    <row r="47" spans="1:12">
      <c r="A47" s="33" t="s">
        <v>62</v>
      </c>
      <c r="B47" s="7">
        <f t="shared" si="1"/>
        <v>43</v>
      </c>
      <c r="C47" s="8" t="s">
        <v>66</v>
      </c>
      <c r="D47" s="31">
        <v>46079</v>
      </c>
      <c r="E47" s="32" t="s">
        <v>10</v>
      </c>
      <c r="F47" s="26">
        <v>0</v>
      </c>
      <c r="G47" s="25">
        <v>20</v>
      </c>
      <c r="H47" s="25">
        <v>1</v>
      </c>
      <c r="I47" s="28">
        <v>250</v>
      </c>
      <c r="J47" s="29">
        <f>InvoicesMain[[#This Row],[PRICE]]</f>
        <v>250</v>
      </c>
      <c r="K47" s="27" t="s">
        <v>30</v>
      </c>
      <c r="L47" s="16"/>
    </row>
    <row r="48" spans="1:12">
      <c r="A48" s="33" t="s">
        <v>62</v>
      </c>
      <c r="B48" s="7">
        <f t="shared" si="1"/>
        <v>44</v>
      </c>
      <c r="C48" s="8" t="s">
        <v>67</v>
      </c>
      <c r="D48" s="31">
        <v>46079</v>
      </c>
      <c r="E48" s="32" t="s">
        <v>50</v>
      </c>
      <c r="F48" s="26">
        <v>0</v>
      </c>
      <c r="G48" s="25">
        <v>20</v>
      </c>
      <c r="H48" s="25">
        <v>1</v>
      </c>
      <c r="I48" s="28">
        <v>250</v>
      </c>
      <c r="J48" s="28">
        <f>InvoicesMain[[#This Row],[PRICE]]</f>
        <v>250</v>
      </c>
      <c r="K48" s="27" t="s">
        <v>30</v>
      </c>
      <c r="L48" s="16"/>
    </row>
    <row r="49" spans="1:12">
      <c r="A49" s="33" t="s">
        <v>62</v>
      </c>
      <c r="B49" s="7">
        <f t="shared" si="1"/>
        <v>45</v>
      </c>
      <c r="C49" s="8" t="s">
        <v>68</v>
      </c>
      <c r="D49" s="31">
        <v>46079</v>
      </c>
      <c r="E49" s="32" t="s">
        <v>10</v>
      </c>
      <c r="F49" s="26">
        <v>0</v>
      </c>
      <c r="G49" s="25">
        <v>20</v>
      </c>
      <c r="H49" s="25">
        <v>1</v>
      </c>
      <c r="I49" s="28">
        <v>250</v>
      </c>
      <c r="J49" s="28">
        <f>InvoicesMain[[#This Row],[PRICE]]</f>
        <v>250</v>
      </c>
      <c r="K49" s="27" t="s">
        <v>30</v>
      </c>
      <c r="L49" s="16"/>
    </row>
    <row r="50" spans="1:12">
      <c r="A50" s="33" t="s">
        <v>62</v>
      </c>
      <c r="B50" s="7">
        <f t="shared" si="1"/>
        <v>46</v>
      </c>
      <c r="C50" s="8" t="s">
        <v>69</v>
      </c>
      <c r="D50" s="31">
        <v>46079</v>
      </c>
      <c r="E50" s="32" t="s">
        <v>34</v>
      </c>
      <c r="F50" s="26">
        <v>0</v>
      </c>
      <c r="G50" s="25">
        <v>20</v>
      </c>
      <c r="H50" s="25">
        <v>1</v>
      </c>
      <c r="I50" s="28">
        <v>250</v>
      </c>
      <c r="J50" s="28">
        <f>InvoicesMain[[#This Row],[PRICE]]</f>
        <v>250</v>
      </c>
      <c r="K50" s="27" t="s">
        <v>30</v>
      </c>
      <c r="L50" s="16"/>
    </row>
    <row r="51" spans="1:12">
      <c r="A51" s="33" t="s">
        <v>62</v>
      </c>
      <c r="B51" s="7">
        <f t="shared" si="1"/>
        <v>47</v>
      </c>
      <c r="C51" s="8" t="s">
        <v>70</v>
      </c>
      <c r="D51" s="31">
        <v>46079</v>
      </c>
      <c r="E51" s="32" t="s">
        <v>53</v>
      </c>
      <c r="F51" s="26">
        <v>0</v>
      </c>
      <c r="G51" s="25">
        <v>30</v>
      </c>
      <c r="H51" s="25">
        <v>1</v>
      </c>
      <c r="I51" s="28">
        <v>350</v>
      </c>
      <c r="J51" s="28">
        <f>InvoicesMain[[#This Row],[PRICE]]</f>
        <v>350</v>
      </c>
      <c r="K51" s="27" t="s">
        <v>30</v>
      </c>
      <c r="L51" s="16"/>
    </row>
    <row r="52" spans="1:12">
      <c r="A52" s="33" t="s">
        <v>62</v>
      </c>
      <c r="B52" s="7">
        <f t="shared" si="1"/>
        <v>48</v>
      </c>
      <c r="C52" s="8" t="s">
        <v>56</v>
      </c>
      <c r="D52" s="31">
        <v>46079</v>
      </c>
      <c r="E52" s="32" t="s">
        <v>50</v>
      </c>
      <c r="F52" s="26">
        <v>0</v>
      </c>
      <c r="G52" s="25">
        <v>20</v>
      </c>
      <c r="H52" s="25">
        <v>1</v>
      </c>
      <c r="I52" s="28">
        <v>200</v>
      </c>
      <c r="J52" s="28">
        <f>InvoicesMain[[#This Row],[PRICE]]</f>
        <v>200</v>
      </c>
      <c r="K52" s="27" t="s">
        <v>30</v>
      </c>
      <c r="L52" s="16"/>
    </row>
    <row r="53" spans="1:12">
      <c r="A53" s="33" t="s">
        <v>62</v>
      </c>
      <c r="B53" s="7">
        <f t="shared" si="1"/>
        <v>49</v>
      </c>
      <c r="C53" s="8" t="s">
        <v>56</v>
      </c>
      <c r="D53" s="31">
        <v>46079</v>
      </c>
      <c r="E53" s="32" t="s">
        <v>10</v>
      </c>
      <c r="F53" s="26">
        <v>0</v>
      </c>
      <c r="G53" s="25">
        <v>20</v>
      </c>
      <c r="H53" s="25">
        <v>1</v>
      </c>
      <c r="I53" s="28">
        <v>200</v>
      </c>
      <c r="J53" s="28">
        <f>InvoicesMain[[#This Row],[PRICE]]</f>
        <v>200</v>
      </c>
      <c r="K53" s="27" t="s">
        <v>30</v>
      </c>
      <c r="L53" s="16"/>
    </row>
    <row r="54" spans="1:12">
      <c r="A54" s="33" t="s">
        <v>23</v>
      </c>
      <c r="B54" s="7">
        <f t="shared" si="1"/>
        <v>50</v>
      </c>
      <c r="C54" s="8" t="s">
        <v>54</v>
      </c>
      <c r="D54" s="9">
        <v>46079</v>
      </c>
      <c r="E54" s="15" t="s">
        <v>10</v>
      </c>
      <c r="F54" s="11">
        <v>0</v>
      </c>
      <c r="G54" s="10">
        <v>20</v>
      </c>
      <c r="H54" s="10">
        <v>1</v>
      </c>
      <c r="I54" s="12">
        <v>150</v>
      </c>
      <c r="J54" s="12">
        <f>InvoicesMain[[#This Row],[PRICE]]</f>
        <v>150</v>
      </c>
      <c r="K54" s="8"/>
      <c r="L54" s="16"/>
    </row>
    <row r="55" spans="1:12">
      <c r="A55" s="33" t="s">
        <v>42</v>
      </c>
      <c r="B55" s="7">
        <f t="shared" si="1"/>
        <v>51</v>
      </c>
      <c r="C55" s="8" t="s">
        <v>42</v>
      </c>
      <c r="D55" s="31">
        <v>46079</v>
      </c>
      <c r="E55" s="32" t="s">
        <v>45</v>
      </c>
      <c r="F55" s="26">
        <v>0</v>
      </c>
      <c r="G55" s="25">
        <v>30</v>
      </c>
      <c r="H55" s="25">
        <v>1</v>
      </c>
      <c r="I55" s="28">
        <v>150</v>
      </c>
      <c r="J55" s="28">
        <f>InvoicesMain[[#This Row],[PRICE]]</f>
        <v>150</v>
      </c>
      <c r="K55" s="27" t="s">
        <v>30</v>
      </c>
      <c r="L55" s="16"/>
    </row>
    <row r="56" spans="1:12">
      <c r="A56" s="33" t="s">
        <v>42</v>
      </c>
      <c r="B56" s="7">
        <f t="shared" si="1"/>
        <v>52</v>
      </c>
      <c r="C56" s="8" t="s">
        <v>42</v>
      </c>
      <c r="D56" s="31">
        <v>46079</v>
      </c>
      <c r="E56" s="32" t="s">
        <v>24</v>
      </c>
      <c r="F56" s="26">
        <v>0</v>
      </c>
      <c r="G56" s="25">
        <v>30</v>
      </c>
      <c r="H56" s="25">
        <v>1</v>
      </c>
      <c r="I56" s="28">
        <v>150</v>
      </c>
      <c r="J56" s="28">
        <f>InvoicesMain[[#This Row],[PRICE]]</f>
        <v>150</v>
      </c>
      <c r="K56" s="27" t="s">
        <v>30</v>
      </c>
      <c r="L56" s="16"/>
    </row>
    <row r="57" spans="1:12">
      <c r="A57" s="33" t="s">
        <v>42</v>
      </c>
      <c r="B57" s="7">
        <f t="shared" si="1"/>
        <v>53</v>
      </c>
      <c r="C57" s="8" t="s">
        <v>42</v>
      </c>
      <c r="D57" s="31">
        <v>46079</v>
      </c>
      <c r="E57" s="32" t="s">
        <v>24</v>
      </c>
      <c r="F57" s="26">
        <v>0</v>
      </c>
      <c r="G57" s="25">
        <v>30</v>
      </c>
      <c r="H57" s="25">
        <v>1</v>
      </c>
      <c r="I57" s="28">
        <v>150</v>
      </c>
      <c r="J57" s="28">
        <f>InvoicesMain[[#This Row],[PRICE]]</f>
        <v>150</v>
      </c>
      <c r="K57" s="27" t="s">
        <v>30</v>
      </c>
      <c r="L57" s="16"/>
    </row>
    <row r="58" spans="1:12">
      <c r="A58" s="33" t="s">
        <v>62</v>
      </c>
      <c r="B58" s="7">
        <f t="shared" si="1"/>
        <v>54</v>
      </c>
      <c r="C58" s="8" t="s">
        <v>55</v>
      </c>
      <c r="D58" s="31">
        <v>46080</v>
      </c>
      <c r="E58" s="32" t="s">
        <v>10</v>
      </c>
      <c r="F58" s="26">
        <v>0</v>
      </c>
      <c r="G58" s="25">
        <v>30</v>
      </c>
      <c r="H58" s="25">
        <v>1</v>
      </c>
      <c r="I58" s="28">
        <v>350</v>
      </c>
      <c r="J58" s="28">
        <f>InvoicesMain[[#This Row],[PRICE]]</f>
        <v>350</v>
      </c>
      <c r="K58" s="27" t="s">
        <v>30</v>
      </c>
      <c r="L58" s="16"/>
    </row>
    <row r="59" spans="1:12">
      <c r="A59" s="33" t="s">
        <v>61</v>
      </c>
      <c r="B59" s="7">
        <f t="shared" si="1"/>
        <v>55</v>
      </c>
      <c r="C59" s="8" t="s">
        <v>27</v>
      </c>
      <c r="D59" s="31">
        <v>46079</v>
      </c>
      <c r="E59" s="32" t="s">
        <v>36</v>
      </c>
      <c r="F59" s="26">
        <v>0</v>
      </c>
      <c r="G59" s="25">
        <v>20</v>
      </c>
      <c r="H59" s="25">
        <v>2</v>
      </c>
      <c r="I59" s="28">
        <v>600</v>
      </c>
      <c r="J59" s="28">
        <f>InvoicesMain[[#This Row],[PRICE]]</f>
        <v>600</v>
      </c>
      <c r="K59" s="27" t="s">
        <v>30</v>
      </c>
      <c r="L59" s="16"/>
    </row>
    <row r="60" spans="1:12">
      <c r="A60" s="33" t="s">
        <v>61</v>
      </c>
      <c r="B60" s="7">
        <f t="shared" si="1"/>
        <v>56</v>
      </c>
      <c r="C60" s="8" t="s">
        <v>27</v>
      </c>
      <c r="D60" s="31">
        <v>46079</v>
      </c>
      <c r="E60" s="32" t="s">
        <v>10</v>
      </c>
      <c r="F60" s="26">
        <v>0</v>
      </c>
      <c r="G60" s="25">
        <v>20</v>
      </c>
      <c r="H60" s="25">
        <v>2</v>
      </c>
      <c r="I60" s="28">
        <v>600</v>
      </c>
      <c r="J60" s="28">
        <f>InvoicesMain[[#This Row],[PRICE]]</f>
        <v>600</v>
      </c>
      <c r="K60" s="27" t="s">
        <v>30</v>
      </c>
      <c r="L60" s="16"/>
    </row>
    <row r="61" spans="1:12">
      <c r="A61" s="33" t="s">
        <v>61</v>
      </c>
      <c r="B61" s="7">
        <f t="shared" si="1"/>
        <v>57</v>
      </c>
      <c r="C61" s="8" t="s">
        <v>31</v>
      </c>
      <c r="D61" s="31">
        <v>46079</v>
      </c>
      <c r="E61" s="32" t="s">
        <v>12</v>
      </c>
      <c r="F61" s="26">
        <v>0</v>
      </c>
      <c r="G61" s="25">
        <v>20</v>
      </c>
      <c r="H61" s="25">
        <v>2</v>
      </c>
      <c r="I61" s="28">
        <v>400</v>
      </c>
      <c r="J61" s="28">
        <f>InvoicesMain[[#This Row],[PRICE]]</f>
        <v>400</v>
      </c>
      <c r="K61" s="27" t="s">
        <v>30</v>
      </c>
      <c r="L61" s="16"/>
    </row>
    <row r="62" spans="1:12">
      <c r="A62" s="33" t="s">
        <v>61</v>
      </c>
      <c r="B62" s="7">
        <f t="shared" si="1"/>
        <v>58</v>
      </c>
      <c r="C62" s="8" t="s">
        <v>31</v>
      </c>
      <c r="D62" s="31">
        <v>46079</v>
      </c>
      <c r="E62" s="32" t="s">
        <v>33</v>
      </c>
      <c r="F62" s="26">
        <v>0</v>
      </c>
      <c r="G62" s="25">
        <v>20</v>
      </c>
      <c r="H62" s="25">
        <v>1</v>
      </c>
      <c r="I62" s="28">
        <v>190</v>
      </c>
      <c r="J62" s="28">
        <f>InvoicesMain[[#This Row],[PRICE]]</f>
        <v>190</v>
      </c>
      <c r="K62" s="27" t="s">
        <v>30</v>
      </c>
      <c r="L62" s="16"/>
    </row>
    <row r="63" spans="1:12">
      <c r="A63" s="33" t="s">
        <v>62</v>
      </c>
      <c r="B63" s="7">
        <f t="shared" si="1"/>
        <v>59</v>
      </c>
      <c r="C63" s="8" t="s">
        <v>57</v>
      </c>
      <c r="D63" s="31">
        <v>46086</v>
      </c>
      <c r="E63" s="32" t="s">
        <v>45</v>
      </c>
      <c r="F63" s="26">
        <v>0</v>
      </c>
      <c r="G63" s="25">
        <v>20</v>
      </c>
      <c r="H63" s="25">
        <v>1</v>
      </c>
      <c r="I63" s="28">
        <v>250</v>
      </c>
      <c r="J63" s="28">
        <f>InvoicesMain[[#This Row],[PRICE]]</f>
        <v>250</v>
      </c>
      <c r="K63" s="27" t="s">
        <v>30</v>
      </c>
      <c r="L63" s="16"/>
    </row>
    <row r="64" spans="1:12">
      <c r="A64" s="33" t="s">
        <v>62</v>
      </c>
      <c r="B64" s="7">
        <f t="shared" si="1"/>
        <v>60</v>
      </c>
      <c r="C64" s="8" t="s">
        <v>57</v>
      </c>
      <c r="D64" s="31">
        <v>46086</v>
      </c>
      <c r="E64" s="32" t="s">
        <v>24</v>
      </c>
      <c r="F64" s="26">
        <v>0</v>
      </c>
      <c r="G64" s="25">
        <v>20</v>
      </c>
      <c r="H64" s="25">
        <v>1</v>
      </c>
      <c r="I64" s="28">
        <v>250</v>
      </c>
      <c r="J64" s="28">
        <f>InvoicesMain[[#This Row],[PRICE]]</f>
        <v>250</v>
      </c>
      <c r="K64" s="27" t="s">
        <v>30</v>
      </c>
      <c r="L64" s="16"/>
    </row>
    <row r="65" spans="1:12">
      <c r="A65" s="33" t="s">
        <v>62</v>
      </c>
      <c r="B65" s="7">
        <f t="shared" si="1"/>
        <v>61</v>
      </c>
      <c r="C65" s="8" t="s">
        <v>71</v>
      </c>
      <c r="D65" s="31">
        <v>46091</v>
      </c>
      <c r="E65" s="32" t="s">
        <v>34</v>
      </c>
      <c r="F65" s="26">
        <v>0</v>
      </c>
      <c r="G65" s="25">
        <v>20</v>
      </c>
      <c r="H65" s="25">
        <v>1</v>
      </c>
      <c r="I65" s="28">
        <v>250</v>
      </c>
      <c r="J65" s="28">
        <f>InvoicesMain[[#This Row],[PRICE]]</f>
        <v>250</v>
      </c>
      <c r="K65" s="27" t="s">
        <v>30</v>
      </c>
      <c r="L65" s="16"/>
    </row>
    <row r="66" spans="1:12">
      <c r="A66" s="33" t="s">
        <v>72</v>
      </c>
      <c r="B66" s="7">
        <f t="shared" si="1"/>
        <v>62</v>
      </c>
      <c r="C66" s="8" t="s">
        <v>73</v>
      </c>
      <c r="D66" s="31">
        <v>46088</v>
      </c>
      <c r="E66" s="32" t="s">
        <v>36</v>
      </c>
      <c r="F66" s="26">
        <v>0</v>
      </c>
      <c r="G66" s="25">
        <v>30</v>
      </c>
      <c r="H66" s="25">
        <v>1</v>
      </c>
      <c r="I66" s="28">
        <v>400</v>
      </c>
      <c r="J66" s="28">
        <f>InvoicesMain[[#This Row],[PRICE]]</f>
        <v>400</v>
      </c>
      <c r="K66" s="27" t="s">
        <v>30</v>
      </c>
      <c r="L66" s="16"/>
    </row>
    <row r="67" spans="1:12">
      <c r="A67" s="33" t="s">
        <v>72</v>
      </c>
      <c r="B67" s="7">
        <f t="shared" si="1"/>
        <v>63</v>
      </c>
      <c r="C67" s="8" t="s">
        <v>73</v>
      </c>
      <c r="D67" s="31">
        <v>46088</v>
      </c>
      <c r="E67" s="32" t="s">
        <v>24</v>
      </c>
      <c r="F67" s="26">
        <v>0</v>
      </c>
      <c r="G67" s="25">
        <v>20</v>
      </c>
      <c r="H67" s="25">
        <v>1</v>
      </c>
      <c r="I67" s="28">
        <v>300</v>
      </c>
      <c r="J67" s="28">
        <f>InvoicesMain[[#This Row],[PRICE]]</f>
        <v>300</v>
      </c>
      <c r="K67" s="27" t="s">
        <v>30</v>
      </c>
      <c r="L67" s="16"/>
    </row>
    <row r="68" spans="1:12">
      <c r="A68" s="33" t="s">
        <v>42</v>
      </c>
      <c r="B68" s="7">
        <f t="shared" si="1"/>
        <v>64</v>
      </c>
      <c r="C68" s="8" t="s">
        <v>42</v>
      </c>
      <c r="D68" s="31">
        <v>46094</v>
      </c>
      <c r="E68" s="32" t="s">
        <v>24</v>
      </c>
      <c r="F68" s="26">
        <v>0</v>
      </c>
      <c r="G68" s="25">
        <v>30</v>
      </c>
      <c r="H68" s="25">
        <v>1</v>
      </c>
      <c r="I68" s="28">
        <v>150</v>
      </c>
      <c r="J68" s="28">
        <f>InvoicesMain[[#This Row],[PRICE]]</f>
        <v>150</v>
      </c>
      <c r="K68" s="27" t="s">
        <v>30</v>
      </c>
      <c r="L68" s="16"/>
    </row>
    <row r="69" spans="1:12">
      <c r="A69" s="33" t="s">
        <v>42</v>
      </c>
      <c r="B69" s="7">
        <f t="shared" si="1"/>
        <v>65</v>
      </c>
      <c r="C69" s="8" t="s">
        <v>42</v>
      </c>
      <c r="D69" s="31">
        <v>46094</v>
      </c>
      <c r="E69" s="32" t="s">
        <v>24</v>
      </c>
      <c r="F69" s="26">
        <v>0</v>
      </c>
      <c r="G69" s="25">
        <v>30</v>
      </c>
      <c r="H69" s="25">
        <v>1</v>
      </c>
      <c r="I69" s="28">
        <v>150</v>
      </c>
      <c r="J69" s="28">
        <f>InvoicesMain[[#This Row],[PRICE]]</f>
        <v>150</v>
      </c>
      <c r="K69" s="27" t="s">
        <v>30</v>
      </c>
      <c r="L69" s="16"/>
    </row>
    <row r="70" spans="1:12">
      <c r="A70" s="33" t="s">
        <v>42</v>
      </c>
      <c r="B70" s="7">
        <f t="shared" si="1"/>
        <v>66</v>
      </c>
      <c r="C70" s="8" t="s">
        <v>42</v>
      </c>
      <c r="D70" s="31">
        <v>46094</v>
      </c>
      <c r="E70" s="32" t="s">
        <v>53</v>
      </c>
      <c r="F70" s="26">
        <v>0</v>
      </c>
      <c r="G70" s="25">
        <v>30</v>
      </c>
      <c r="H70" s="25">
        <v>1</v>
      </c>
      <c r="I70" s="28">
        <v>150</v>
      </c>
      <c r="J70" s="28">
        <f>InvoicesMain[[#This Row],[PRICE]]</f>
        <v>150</v>
      </c>
      <c r="K70" s="27" t="s">
        <v>30</v>
      </c>
      <c r="L70" s="16"/>
    </row>
    <row r="71" spans="1:12">
      <c r="A71" s="33" t="s">
        <v>42</v>
      </c>
      <c r="B71" s="7">
        <f t="shared" si="1"/>
        <v>67</v>
      </c>
      <c r="C71" s="8" t="s">
        <v>42</v>
      </c>
      <c r="D71" s="31">
        <v>46094</v>
      </c>
      <c r="E71" s="32" t="s">
        <v>45</v>
      </c>
      <c r="F71" s="26">
        <v>0</v>
      </c>
      <c r="G71" s="25">
        <v>30</v>
      </c>
      <c r="H71" s="25">
        <v>1</v>
      </c>
      <c r="I71" s="28">
        <v>150</v>
      </c>
      <c r="J71" s="28">
        <f>InvoicesMain[[#This Row],[PRICE]]</f>
        <v>150</v>
      </c>
      <c r="K71" s="27" t="s">
        <v>30</v>
      </c>
      <c r="L71" s="16"/>
    </row>
    <row r="72" spans="1:12">
      <c r="A72" s="33" t="s">
        <v>78</v>
      </c>
      <c r="B72" s="7">
        <f t="shared" si="1"/>
        <v>68</v>
      </c>
      <c r="C72" s="8" t="s">
        <v>44</v>
      </c>
      <c r="D72" s="31">
        <v>46094</v>
      </c>
      <c r="E72" s="32" t="s">
        <v>46</v>
      </c>
      <c r="F72" s="26">
        <v>0</v>
      </c>
      <c r="G72" s="25">
        <v>50</v>
      </c>
      <c r="H72" s="25">
        <v>1</v>
      </c>
      <c r="I72" s="28">
        <v>700</v>
      </c>
      <c r="J72" s="28">
        <f>InvoicesMain[[#This Row],[PRICE]]</f>
        <v>700</v>
      </c>
      <c r="K72" s="27" t="s">
        <v>30</v>
      </c>
      <c r="L72" s="16"/>
    </row>
    <row r="73" spans="1:12">
      <c r="A73" s="33" t="s">
        <v>78</v>
      </c>
      <c r="B73" s="7">
        <f t="shared" si="1"/>
        <v>69</v>
      </c>
      <c r="C73" s="8" t="s">
        <v>44</v>
      </c>
      <c r="D73" s="31">
        <v>46094</v>
      </c>
      <c r="E73" s="32" t="s">
        <v>74</v>
      </c>
      <c r="F73" s="26">
        <v>0</v>
      </c>
      <c r="G73" s="25">
        <v>50</v>
      </c>
      <c r="H73" s="25">
        <v>1</v>
      </c>
      <c r="I73" s="28">
        <v>650</v>
      </c>
      <c r="J73" s="28">
        <f>InvoicesMain[[#This Row],[PRICE]]</f>
        <v>650</v>
      </c>
      <c r="K73" s="27" t="s">
        <v>30</v>
      </c>
      <c r="L73" s="16"/>
    </row>
    <row r="74" spans="1:12">
      <c r="A74" s="33" t="s">
        <v>78</v>
      </c>
      <c r="B74" s="7">
        <f t="shared" si="1"/>
        <v>70</v>
      </c>
      <c r="C74" s="8" t="s">
        <v>44</v>
      </c>
      <c r="D74" s="31">
        <v>46094</v>
      </c>
      <c r="E74" s="32" t="s">
        <v>75</v>
      </c>
      <c r="F74" s="26">
        <v>0</v>
      </c>
      <c r="G74" s="25">
        <v>20</v>
      </c>
      <c r="H74" s="25">
        <v>1</v>
      </c>
      <c r="I74" s="28">
        <v>400</v>
      </c>
      <c r="J74" s="28">
        <f>InvoicesMain[[#This Row],[PRICE]]</f>
        <v>400</v>
      </c>
      <c r="K74" s="27" t="s">
        <v>30</v>
      </c>
      <c r="L74" s="16"/>
    </row>
    <row r="75" spans="1:12">
      <c r="A75" s="33" t="s">
        <v>78</v>
      </c>
      <c r="B75" s="7">
        <f t="shared" si="1"/>
        <v>71</v>
      </c>
      <c r="C75" s="8" t="s">
        <v>44</v>
      </c>
      <c r="D75" s="31">
        <v>46094</v>
      </c>
      <c r="E75" s="32" t="s">
        <v>76</v>
      </c>
      <c r="F75" s="26">
        <v>0</v>
      </c>
      <c r="G75" s="25">
        <v>20</v>
      </c>
      <c r="H75" s="25">
        <v>1</v>
      </c>
      <c r="I75" s="28">
        <v>300</v>
      </c>
      <c r="J75" s="28">
        <f>InvoicesMain[[#This Row],[PRICE]]</f>
        <v>300</v>
      </c>
      <c r="K75" s="27" t="s">
        <v>30</v>
      </c>
      <c r="L75" s="16"/>
    </row>
    <row r="76" spans="1:12">
      <c r="A76" s="33" t="s">
        <v>78</v>
      </c>
      <c r="B76" s="7">
        <f t="shared" si="1"/>
        <v>72</v>
      </c>
      <c r="C76" s="8" t="s">
        <v>44</v>
      </c>
      <c r="D76" s="31">
        <v>46094</v>
      </c>
      <c r="E76" s="32" t="s">
        <v>45</v>
      </c>
      <c r="F76" s="26">
        <v>0</v>
      </c>
      <c r="G76" s="25">
        <v>20</v>
      </c>
      <c r="H76" s="25">
        <v>1</v>
      </c>
      <c r="I76" s="28">
        <v>300</v>
      </c>
      <c r="J76" s="28">
        <f>InvoicesMain[[#This Row],[PRICE]]</f>
        <v>300</v>
      </c>
      <c r="K76" s="27" t="s">
        <v>30</v>
      </c>
      <c r="L76" s="16"/>
    </row>
    <row r="77" spans="1:12">
      <c r="A77" s="33" t="s">
        <v>78</v>
      </c>
      <c r="B77" s="7">
        <f t="shared" si="1"/>
        <v>73</v>
      </c>
      <c r="C77" s="8" t="s">
        <v>44</v>
      </c>
      <c r="D77" s="31">
        <v>46094</v>
      </c>
      <c r="E77" s="32" t="s">
        <v>77</v>
      </c>
      <c r="F77" s="26">
        <v>0</v>
      </c>
      <c r="G77" s="25">
        <v>20</v>
      </c>
      <c r="H77" s="25">
        <v>1</v>
      </c>
      <c r="I77" s="28">
        <v>250</v>
      </c>
      <c r="J77" s="28">
        <f>InvoicesMain[[#This Row],[PRICE]]</f>
        <v>250</v>
      </c>
      <c r="K77" s="27" t="s">
        <v>30</v>
      </c>
      <c r="L77" s="16"/>
    </row>
    <row r="78" spans="1:12">
      <c r="A78" s="33" t="s">
        <v>61</v>
      </c>
      <c r="B78" s="7">
        <f t="shared" si="1"/>
        <v>74</v>
      </c>
      <c r="C78" s="8" t="s">
        <v>79</v>
      </c>
      <c r="D78" s="31">
        <v>46094</v>
      </c>
      <c r="E78" s="32" t="s">
        <v>12</v>
      </c>
      <c r="F78" s="26">
        <v>0</v>
      </c>
      <c r="G78" s="25">
        <v>100</v>
      </c>
      <c r="H78" s="25">
        <v>1</v>
      </c>
      <c r="I78" s="28">
        <v>750</v>
      </c>
      <c r="J78" s="28">
        <f>InvoicesMain[[#This Row],[PRICE]]</f>
        <v>750</v>
      </c>
      <c r="K78" s="27" t="s">
        <v>30</v>
      </c>
      <c r="L78" s="16"/>
    </row>
    <row r="79" spans="1:12">
      <c r="A79" s="33" t="s">
        <v>61</v>
      </c>
      <c r="B79" s="7">
        <f t="shared" si="1"/>
        <v>75</v>
      </c>
      <c r="C79" s="8" t="s">
        <v>79</v>
      </c>
      <c r="D79" s="31">
        <v>46094</v>
      </c>
      <c r="E79" s="32" t="s">
        <v>34</v>
      </c>
      <c r="F79" s="26">
        <v>0</v>
      </c>
      <c r="G79" s="25">
        <v>20</v>
      </c>
      <c r="H79" s="25">
        <v>1</v>
      </c>
      <c r="I79" s="28">
        <v>200</v>
      </c>
      <c r="J79" s="28">
        <f>InvoicesMain[[#This Row],[PRICE]]</f>
        <v>200</v>
      </c>
      <c r="K79" s="27" t="s">
        <v>30</v>
      </c>
      <c r="L79" s="16"/>
    </row>
    <row r="80" spans="1:12">
      <c r="A80" s="33" t="s">
        <v>42</v>
      </c>
      <c r="B80" s="7">
        <f t="shared" si="1"/>
        <v>76</v>
      </c>
      <c r="C80" s="8" t="s">
        <v>80</v>
      </c>
      <c r="D80" s="35">
        <v>46094</v>
      </c>
      <c r="E80" s="32" t="s">
        <v>81</v>
      </c>
      <c r="F80" s="26">
        <v>0</v>
      </c>
      <c r="G80" s="25">
        <v>20</v>
      </c>
      <c r="H80" s="25">
        <v>1</v>
      </c>
      <c r="I80" s="28">
        <v>350</v>
      </c>
      <c r="J80" s="28">
        <f>InvoicesMain[[#This Row],[PRICE]]</f>
        <v>350</v>
      </c>
      <c r="K80" s="27" t="s">
        <v>30</v>
      </c>
      <c r="L80" s="16"/>
    </row>
    <row r="81" spans="1:12">
      <c r="A81" s="33"/>
      <c r="B81" s="7">
        <f t="shared" ref="B81:B117" si="2">B80+1</f>
        <v>77</v>
      </c>
      <c r="C81" s="8" t="s">
        <v>44</v>
      </c>
      <c r="D81" s="35">
        <v>46094</v>
      </c>
      <c r="E81" s="32" t="s">
        <v>53</v>
      </c>
      <c r="F81" s="26">
        <v>0</v>
      </c>
      <c r="G81" s="25">
        <v>20</v>
      </c>
      <c r="H81" s="25">
        <v>1</v>
      </c>
      <c r="I81" s="28">
        <v>250</v>
      </c>
      <c r="J81" s="28">
        <f>InvoicesMain[[#This Row],[PRICE]]</f>
        <v>250</v>
      </c>
      <c r="K81" s="27" t="s">
        <v>30</v>
      </c>
      <c r="L81" s="16"/>
    </row>
    <row r="82" spans="1:12">
      <c r="A82" s="33"/>
      <c r="B82" s="7">
        <f t="shared" si="2"/>
        <v>78</v>
      </c>
      <c r="C82" s="8" t="s">
        <v>82</v>
      </c>
      <c r="D82" s="35">
        <v>46094</v>
      </c>
      <c r="E82" s="32" t="s">
        <v>10</v>
      </c>
      <c r="F82" s="26">
        <v>0</v>
      </c>
      <c r="G82" s="25">
        <v>20</v>
      </c>
      <c r="H82" s="25">
        <v>1</v>
      </c>
      <c r="I82" s="28">
        <v>250</v>
      </c>
      <c r="J82" s="28">
        <f>InvoicesMain[[#This Row],[PRICE]]</f>
        <v>250</v>
      </c>
      <c r="K82" s="27" t="s">
        <v>30</v>
      </c>
      <c r="L82" s="16"/>
    </row>
    <row r="83" spans="1:12">
      <c r="A83" s="33"/>
      <c r="B83" s="7">
        <f t="shared" si="2"/>
        <v>79</v>
      </c>
      <c r="C83" s="8" t="s">
        <v>82</v>
      </c>
      <c r="D83" s="34">
        <v>46097</v>
      </c>
      <c r="E83" s="15" t="s">
        <v>50</v>
      </c>
      <c r="F83" s="11">
        <v>0</v>
      </c>
      <c r="G83" s="10">
        <v>20</v>
      </c>
      <c r="H83" s="10">
        <v>1</v>
      </c>
      <c r="I83" s="12">
        <v>250</v>
      </c>
      <c r="J83" s="12">
        <f>InvoicesMain[[#This Row],[PRICE]]</f>
        <v>250</v>
      </c>
      <c r="K83" s="8"/>
      <c r="L83" s="16"/>
    </row>
    <row r="84" spans="1:12">
      <c r="A84" s="33"/>
      <c r="B84" s="7">
        <f t="shared" si="2"/>
        <v>80</v>
      </c>
      <c r="C84" s="8" t="s">
        <v>83</v>
      </c>
      <c r="D84" s="34">
        <v>46097</v>
      </c>
      <c r="E84" s="15" t="s">
        <v>10</v>
      </c>
      <c r="F84" s="11">
        <v>0</v>
      </c>
      <c r="G84" s="10">
        <v>20</v>
      </c>
      <c r="H84" s="10">
        <v>1</v>
      </c>
      <c r="I84" s="12">
        <v>300</v>
      </c>
      <c r="J84" s="12">
        <f>InvoicesMain[[#This Row],[PRICE]]</f>
        <v>300</v>
      </c>
      <c r="K84" s="8"/>
      <c r="L84" s="16"/>
    </row>
    <row r="85" spans="1:12">
      <c r="A85" s="33"/>
      <c r="B85" s="7">
        <f t="shared" si="2"/>
        <v>81</v>
      </c>
      <c r="C85" s="8" t="s">
        <v>84</v>
      </c>
      <c r="D85" s="34">
        <v>46097</v>
      </c>
      <c r="E85" s="15" t="s">
        <v>74</v>
      </c>
      <c r="F85" s="11">
        <v>0</v>
      </c>
      <c r="G85" s="10">
        <v>30</v>
      </c>
      <c r="H85" s="10">
        <v>1</v>
      </c>
      <c r="I85" s="12">
        <v>350</v>
      </c>
      <c r="J85" s="12">
        <f>InvoicesMain[[#This Row],[PRICE]]</f>
        <v>350</v>
      </c>
      <c r="K85" s="8"/>
      <c r="L85" s="16"/>
    </row>
    <row r="86" spans="1:12">
      <c r="A86" s="33"/>
      <c r="B86" s="7">
        <f t="shared" si="2"/>
        <v>82</v>
      </c>
      <c r="C86" s="8" t="s">
        <v>84</v>
      </c>
      <c r="D86" s="34">
        <v>46097</v>
      </c>
      <c r="E86" s="15" t="s">
        <v>85</v>
      </c>
      <c r="F86" s="11">
        <v>0</v>
      </c>
      <c r="G86" s="10">
        <v>30</v>
      </c>
      <c r="H86" s="10">
        <v>1</v>
      </c>
      <c r="I86" s="12">
        <v>350</v>
      </c>
      <c r="J86" s="12">
        <f>InvoicesMain[[#This Row],[PRICE]]</f>
        <v>350</v>
      </c>
      <c r="K86" s="8"/>
      <c r="L86" s="16"/>
    </row>
    <row r="87" spans="1:12">
      <c r="A87" s="33"/>
      <c r="B87" s="7">
        <f t="shared" si="2"/>
        <v>83</v>
      </c>
      <c r="C87" s="8" t="s">
        <v>86</v>
      </c>
      <c r="D87" s="34">
        <v>46097</v>
      </c>
      <c r="E87" s="15" t="s">
        <v>34</v>
      </c>
      <c r="F87" s="11">
        <v>0</v>
      </c>
      <c r="G87" s="10">
        <v>30</v>
      </c>
      <c r="H87" s="10">
        <v>1</v>
      </c>
      <c r="I87" s="12">
        <v>350</v>
      </c>
      <c r="J87" s="12">
        <f>InvoicesMain[[#This Row],[PRICE]]</f>
        <v>350</v>
      </c>
      <c r="K87" s="8"/>
      <c r="L87" s="16"/>
    </row>
    <row r="88" spans="1:12">
      <c r="A88" s="33"/>
      <c r="B88" s="7">
        <f t="shared" si="2"/>
        <v>84</v>
      </c>
      <c r="C88" s="8" t="s">
        <v>86</v>
      </c>
      <c r="D88" s="34">
        <v>46097</v>
      </c>
      <c r="E88" s="15" t="s">
        <v>76</v>
      </c>
      <c r="F88" s="11">
        <v>0</v>
      </c>
      <c r="G88" s="10">
        <v>30</v>
      </c>
      <c r="H88" s="10">
        <v>1</v>
      </c>
      <c r="I88" s="12">
        <v>400</v>
      </c>
      <c r="J88" s="12">
        <f>InvoicesMain[[#This Row],[PRICE]]</f>
        <v>400</v>
      </c>
      <c r="K88" s="8"/>
      <c r="L88" s="16"/>
    </row>
    <row r="89" spans="1:12">
      <c r="A89" s="33"/>
      <c r="B89" s="7">
        <f t="shared" si="2"/>
        <v>85</v>
      </c>
      <c r="C89" s="8" t="s">
        <v>86</v>
      </c>
      <c r="D89" s="34">
        <v>46097</v>
      </c>
      <c r="E89" s="15" t="s">
        <v>85</v>
      </c>
      <c r="F89" s="11">
        <v>0</v>
      </c>
      <c r="G89" s="10">
        <v>20</v>
      </c>
      <c r="H89" s="10">
        <v>1</v>
      </c>
      <c r="I89" s="12">
        <v>250</v>
      </c>
      <c r="J89" s="12">
        <f>InvoicesMain[[#This Row],[PRICE]]</f>
        <v>250</v>
      </c>
      <c r="K89" s="8"/>
      <c r="L89" s="16"/>
    </row>
    <row r="90" spans="1:12">
      <c r="A90" s="33"/>
      <c r="B90" s="7">
        <f t="shared" si="2"/>
        <v>86</v>
      </c>
      <c r="C90" s="8" t="s">
        <v>86</v>
      </c>
      <c r="D90" s="34">
        <v>46097</v>
      </c>
      <c r="E90" s="15" t="s">
        <v>10</v>
      </c>
      <c r="F90" s="11">
        <v>0</v>
      </c>
      <c r="G90" s="10">
        <v>20</v>
      </c>
      <c r="H90" s="10">
        <v>1</v>
      </c>
      <c r="I90" s="12">
        <v>300</v>
      </c>
      <c r="J90" s="12">
        <f>InvoicesMain[[#This Row],[PRICE]]</f>
        <v>300</v>
      </c>
      <c r="K90" s="8"/>
      <c r="L90" s="16"/>
    </row>
    <row r="91" spans="1:12">
      <c r="A91" s="33"/>
      <c r="B91" s="7">
        <f t="shared" si="2"/>
        <v>87</v>
      </c>
      <c r="C91" s="8" t="s">
        <v>87</v>
      </c>
      <c r="D91" s="34">
        <v>46103</v>
      </c>
      <c r="E91" s="15" t="s">
        <v>53</v>
      </c>
      <c r="F91" s="11">
        <v>0</v>
      </c>
      <c r="G91" s="10">
        <v>50</v>
      </c>
      <c r="H91" s="10">
        <v>1</v>
      </c>
      <c r="I91" s="12">
        <v>500</v>
      </c>
      <c r="J91" s="12">
        <f>InvoicesMain[[#This Row],[PRICE]]</f>
        <v>500</v>
      </c>
      <c r="K91" s="8"/>
      <c r="L91" s="16"/>
    </row>
    <row r="92" spans="1:12">
      <c r="A92" s="33"/>
      <c r="B92" s="7">
        <f t="shared" si="2"/>
        <v>88</v>
      </c>
      <c r="C92" s="8" t="s">
        <v>88</v>
      </c>
      <c r="D92" s="34">
        <v>46103</v>
      </c>
      <c r="E92" s="15" t="s">
        <v>45</v>
      </c>
      <c r="F92" s="11">
        <v>0</v>
      </c>
      <c r="G92" s="10">
        <v>30</v>
      </c>
      <c r="H92" s="10">
        <v>1</v>
      </c>
      <c r="I92" s="12">
        <v>350</v>
      </c>
      <c r="J92" s="12">
        <f>InvoicesMain[[#This Row],[PRICE]]</f>
        <v>350</v>
      </c>
      <c r="K92" s="8"/>
      <c r="L92" s="16"/>
    </row>
    <row r="93" spans="1:12">
      <c r="A93" s="33"/>
      <c r="B93" s="7">
        <f t="shared" si="2"/>
        <v>89</v>
      </c>
      <c r="C93" s="8" t="s">
        <v>89</v>
      </c>
      <c r="D93" s="34">
        <v>46105</v>
      </c>
      <c r="E93" s="15" t="s">
        <v>45</v>
      </c>
      <c r="F93" s="11">
        <v>0</v>
      </c>
      <c r="G93" s="10">
        <v>50</v>
      </c>
      <c r="H93" s="10">
        <v>1</v>
      </c>
      <c r="I93" s="12">
        <v>650</v>
      </c>
      <c r="J93" s="12">
        <f>InvoicesMain[[#This Row],[PRICE]]</f>
        <v>650</v>
      </c>
      <c r="K93" s="8"/>
      <c r="L93" s="16"/>
    </row>
    <row r="94" spans="1:12">
      <c r="A94" s="33"/>
      <c r="B94" s="7">
        <f t="shared" si="2"/>
        <v>90</v>
      </c>
      <c r="C94" s="8" t="s">
        <v>89</v>
      </c>
      <c r="D94" s="34">
        <v>46105</v>
      </c>
      <c r="E94" s="15" t="s">
        <v>36</v>
      </c>
      <c r="F94" s="11">
        <v>0</v>
      </c>
      <c r="G94" s="10">
        <v>30</v>
      </c>
      <c r="H94" s="10">
        <v>1</v>
      </c>
      <c r="I94" s="12">
        <v>350</v>
      </c>
      <c r="J94" s="12">
        <v>350</v>
      </c>
      <c r="K94" s="8"/>
      <c r="L94" s="16"/>
    </row>
    <row r="95" spans="1:12">
      <c r="A95" s="33"/>
      <c r="B95" s="7">
        <f t="shared" si="2"/>
        <v>91</v>
      </c>
      <c r="C95" s="8" t="s">
        <v>62</v>
      </c>
      <c r="D95" s="34">
        <v>46098</v>
      </c>
      <c r="E95" s="15" t="s">
        <v>90</v>
      </c>
      <c r="F95" s="11">
        <v>0</v>
      </c>
      <c r="G95" s="10">
        <v>30</v>
      </c>
      <c r="H95" s="10">
        <v>1</v>
      </c>
      <c r="I95" s="12">
        <v>300</v>
      </c>
      <c r="J95" s="12">
        <v>300</v>
      </c>
      <c r="K95" s="8"/>
      <c r="L95" s="16"/>
    </row>
    <row r="96" spans="1:12">
      <c r="A96" s="33"/>
      <c r="B96" s="7">
        <f t="shared" si="2"/>
        <v>92</v>
      </c>
      <c r="C96" s="8" t="s">
        <v>82</v>
      </c>
      <c r="D96" s="36">
        <v>46113</v>
      </c>
      <c r="E96" s="15" t="s">
        <v>33</v>
      </c>
      <c r="F96" s="11">
        <v>0</v>
      </c>
      <c r="G96" s="10">
        <v>50</v>
      </c>
      <c r="H96" s="10">
        <v>1</v>
      </c>
      <c r="I96" s="12">
        <v>500</v>
      </c>
      <c r="J96" s="12">
        <f>InvoicesMain[[#This Row],[PRICE]]</f>
        <v>500</v>
      </c>
      <c r="K96" s="8"/>
      <c r="L96" s="16"/>
    </row>
    <row r="97" spans="1:12">
      <c r="A97" s="33"/>
      <c r="B97" s="7">
        <f t="shared" si="2"/>
        <v>93</v>
      </c>
      <c r="C97" s="8"/>
      <c r="D97" s="36" t="s">
        <v>5</v>
      </c>
      <c r="E97" s="15"/>
      <c r="F97" s="11">
        <v>0</v>
      </c>
      <c r="G97" s="10"/>
      <c r="H97" s="10"/>
      <c r="I97" s="12" t="s">
        <v>5</v>
      </c>
      <c r="J97" s="12" t="s">
        <v>5</v>
      </c>
      <c r="K97" s="8"/>
      <c r="L97" s="16"/>
    </row>
    <row r="98" spans="1:12">
      <c r="A98" s="33"/>
      <c r="B98" s="7">
        <f t="shared" si="2"/>
        <v>94</v>
      </c>
      <c r="C98" s="8"/>
      <c r="D98" s="36" t="s">
        <v>5</v>
      </c>
      <c r="E98" s="15"/>
      <c r="F98" s="11">
        <v>0</v>
      </c>
      <c r="G98" s="10"/>
      <c r="H98" s="10"/>
      <c r="I98" s="12" t="s">
        <v>5</v>
      </c>
      <c r="J98" s="12" t="s">
        <v>5</v>
      </c>
      <c r="K98" s="8"/>
      <c r="L98" s="16"/>
    </row>
    <row r="99" spans="1:12">
      <c r="A99" s="33"/>
      <c r="B99" s="7">
        <f t="shared" si="2"/>
        <v>95</v>
      </c>
      <c r="C99" s="8"/>
      <c r="D99" s="36" t="s">
        <v>5</v>
      </c>
      <c r="E99" s="15"/>
      <c r="F99" s="11">
        <v>0</v>
      </c>
      <c r="G99" s="10"/>
      <c r="H99" s="10"/>
      <c r="I99" s="12" t="s">
        <v>5</v>
      </c>
      <c r="J99" s="12" t="s">
        <v>5</v>
      </c>
      <c r="K99" s="8"/>
      <c r="L99" s="16"/>
    </row>
    <row r="100" spans="1:12">
      <c r="A100" s="33"/>
      <c r="B100" s="7">
        <f t="shared" si="2"/>
        <v>96</v>
      </c>
      <c r="C100" s="8"/>
      <c r="D100" s="36" t="s">
        <v>5</v>
      </c>
      <c r="E100" s="15"/>
      <c r="F100" s="11">
        <v>0</v>
      </c>
      <c r="G100" s="10"/>
      <c r="H100" s="10"/>
      <c r="I100" s="12" t="s">
        <v>5</v>
      </c>
      <c r="J100" s="12" t="s">
        <v>5</v>
      </c>
      <c r="K100" s="8"/>
      <c r="L100" s="16"/>
    </row>
    <row r="101" spans="1:12">
      <c r="A101" s="33"/>
      <c r="B101" s="7">
        <f t="shared" si="2"/>
        <v>97</v>
      </c>
      <c r="C101" s="8"/>
      <c r="D101" s="36" t="s">
        <v>5</v>
      </c>
      <c r="E101" s="15"/>
      <c r="F101" s="11">
        <v>0</v>
      </c>
      <c r="G101" s="10"/>
      <c r="H101" s="10"/>
      <c r="I101" s="12" t="s">
        <v>5</v>
      </c>
      <c r="J101" s="12" t="s">
        <v>5</v>
      </c>
      <c r="K101" s="8"/>
      <c r="L101" s="16"/>
    </row>
    <row r="102" spans="1:12">
      <c r="A102" s="33"/>
      <c r="B102" s="7">
        <f t="shared" si="2"/>
        <v>98</v>
      </c>
      <c r="C102" s="8"/>
      <c r="D102" s="36" t="s">
        <v>5</v>
      </c>
      <c r="E102" s="15"/>
      <c r="F102" s="11">
        <v>0</v>
      </c>
      <c r="G102" s="10"/>
      <c r="H102" s="10"/>
      <c r="I102" s="12" t="s">
        <v>5</v>
      </c>
      <c r="J102" s="12" t="s">
        <v>5</v>
      </c>
      <c r="K102" s="8"/>
      <c r="L102" s="16"/>
    </row>
    <row r="103" spans="1:12">
      <c r="A103" s="33"/>
      <c r="B103" s="7">
        <f t="shared" si="2"/>
        <v>99</v>
      </c>
      <c r="C103" s="8"/>
      <c r="D103" s="36" t="s">
        <v>5</v>
      </c>
      <c r="E103" s="15"/>
      <c r="F103" s="11">
        <v>0</v>
      </c>
      <c r="G103" s="10"/>
      <c r="H103" s="10"/>
      <c r="I103" s="12" t="s">
        <v>5</v>
      </c>
      <c r="J103" s="12" t="s">
        <v>5</v>
      </c>
      <c r="K103" s="8"/>
      <c r="L103" s="16"/>
    </row>
    <row r="104" spans="1:12">
      <c r="A104" s="33"/>
      <c r="B104" s="7">
        <f t="shared" si="2"/>
        <v>100</v>
      </c>
      <c r="C104" s="8"/>
      <c r="D104" s="36" t="s">
        <v>5</v>
      </c>
      <c r="E104" s="15"/>
      <c r="F104" s="11">
        <v>0</v>
      </c>
      <c r="G104" s="10"/>
      <c r="H104" s="10"/>
      <c r="I104" s="12" t="s">
        <v>5</v>
      </c>
      <c r="J104" s="12" t="s">
        <v>5</v>
      </c>
      <c r="K104" s="8"/>
      <c r="L104" s="16"/>
    </row>
    <row r="105" spans="1:12">
      <c r="A105" s="33"/>
      <c r="B105" s="7">
        <f t="shared" si="2"/>
        <v>101</v>
      </c>
      <c r="C105" s="8"/>
      <c r="D105" s="36" t="s">
        <v>5</v>
      </c>
      <c r="E105" s="15"/>
      <c r="F105" s="11">
        <v>0</v>
      </c>
      <c r="G105" s="10"/>
      <c r="H105" s="10"/>
      <c r="I105" s="12" t="s">
        <v>5</v>
      </c>
      <c r="J105" s="12" t="s">
        <v>5</v>
      </c>
      <c r="K105" s="8"/>
      <c r="L105" s="16"/>
    </row>
    <row r="106" spans="1:12">
      <c r="A106" s="33"/>
      <c r="B106" s="7">
        <f t="shared" si="2"/>
        <v>102</v>
      </c>
      <c r="C106" s="8"/>
      <c r="D106" s="36" t="s">
        <v>5</v>
      </c>
      <c r="E106" s="15"/>
      <c r="F106" s="11">
        <v>0</v>
      </c>
      <c r="G106" s="10"/>
      <c r="H106" s="10"/>
      <c r="I106" s="12" t="s">
        <v>5</v>
      </c>
      <c r="J106" s="12" t="s">
        <v>5</v>
      </c>
      <c r="K106" s="8"/>
      <c r="L106" s="16"/>
    </row>
    <row r="107" spans="1:12">
      <c r="A107" s="33"/>
      <c r="B107" s="7">
        <f t="shared" si="2"/>
        <v>103</v>
      </c>
      <c r="C107" s="8"/>
      <c r="D107" s="36" t="s">
        <v>5</v>
      </c>
      <c r="E107" s="15"/>
      <c r="F107" s="11">
        <v>0</v>
      </c>
      <c r="G107" s="10"/>
      <c r="H107" s="10"/>
      <c r="I107" s="12" t="s">
        <v>5</v>
      </c>
      <c r="J107" s="12" t="s">
        <v>5</v>
      </c>
      <c r="K107" s="8"/>
      <c r="L107" s="16"/>
    </row>
    <row r="108" spans="1:12">
      <c r="A108" s="33"/>
      <c r="B108" s="7">
        <f t="shared" si="2"/>
        <v>104</v>
      </c>
      <c r="C108" s="8"/>
      <c r="D108" s="36" t="s">
        <v>5</v>
      </c>
      <c r="E108" s="15"/>
      <c r="F108" s="11">
        <v>0</v>
      </c>
      <c r="G108" s="10"/>
      <c r="H108" s="10"/>
      <c r="I108" s="12" t="s">
        <v>5</v>
      </c>
      <c r="J108" s="12" t="s">
        <v>5</v>
      </c>
      <c r="K108" s="8"/>
      <c r="L108" s="16"/>
    </row>
    <row r="109" spans="1:12">
      <c r="A109" s="33"/>
      <c r="B109" s="7">
        <f t="shared" si="2"/>
        <v>105</v>
      </c>
      <c r="C109" s="8"/>
      <c r="D109" s="36" t="s">
        <v>5</v>
      </c>
      <c r="E109" s="15"/>
      <c r="F109" s="11">
        <v>0</v>
      </c>
      <c r="G109" s="10"/>
      <c r="H109" s="10"/>
      <c r="I109" s="12" t="s">
        <v>5</v>
      </c>
      <c r="J109" s="12" t="s">
        <v>5</v>
      </c>
      <c r="K109" s="8"/>
      <c r="L109" s="16"/>
    </row>
    <row r="110" spans="1:12">
      <c r="A110" s="33"/>
      <c r="B110" s="7">
        <f t="shared" si="2"/>
        <v>106</v>
      </c>
      <c r="C110" s="8"/>
      <c r="D110" s="36" t="s">
        <v>5</v>
      </c>
      <c r="E110" s="15"/>
      <c r="F110" s="11">
        <v>0</v>
      </c>
      <c r="G110" s="10"/>
      <c r="H110" s="10"/>
      <c r="I110" s="12" t="s">
        <v>5</v>
      </c>
      <c r="J110" s="12" t="s">
        <v>5</v>
      </c>
      <c r="K110" s="8"/>
      <c r="L110" s="16"/>
    </row>
    <row r="111" spans="1:12">
      <c r="A111" s="33"/>
      <c r="B111" s="7">
        <f t="shared" si="2"/>
        <v>107</v>
      </c>
      <c r="C111" s="8"/>
      <c r="D111" s="36" t="s">
        <v>5</v>
      </c>
      <c r="E111" s="15"/>
      <c r="F111" s="11">
        <v>0</v>
      </c>
      <c r="G111" s="10"/>
      <c r="H111" s="10"/>
      <c r="I111" s="12" t="s">
        <v>5</v>
      </c>
      <c r="J111" s="12" t="s">
        <v>5</v>
      </c>
      <c r="K111" s="8"/>
      <c r="L111" s="16"/>
    </row>
    <row r="112" spans="1:12">
      <c r="A112" s="33"/>
      <c r="B112" s="7">
        <f t="shared" si="2"/>
        <v>108</v>
      </c>
      <c r="C112" s="8"/>
      <c r="D112" s="36" t="s">
        <v>5</v>
      </c>
      <c r="E112" s="15"/>
      <c r="F112" s="11">
        <v>0</v>
      </c>
      <c r="G112" s="10"/>
      <c r="H112" s="10"/>
      <c r="I112" s="12" t="s">
        <v>5</v>
      </c>
      <c r="J112" s="12" t="s">
        <v>5</v>
      </c>
      <c r="K112" s="8"/>
      <c r="L112" s="16"/>
    </row>
    <row r="113" spans="1:12">
      <c r="A113" s="33"/>
      <c r="B113" s="7">
        <f t="shared" si="2"/>
        <v>109</v>
      </c>
      <c r="C113" s="8"/>
      <c r="D113" s="36" t="s">
        <v>5</v>
      </c>
      <c r="E113" s="15"/>
      <c r="F113" s="11">
        <v>0</v>
      </c>
      <c r="G113" s="10"/>
      <c r="H113" s="10"/>
      <c r="I113" s="12" t="s">
        <v>5</v>
      </c>
      <c r="J113" s="12" t="s">
        <v>5</v>
      </c>
      <c r="K113" s="8"/>
      <c r="L113" s="16"/>
    </row>
    <row r="114" spans="1:12">
      <c r="A114" s="33"/>
      <c r="B114" s="7">
        <f t="shared" si="2"/>
        <v>110</v>
      </c>
      <c r="C114" s="8"/>
      <c r="D114" s="36" t="s">
        <v>5</v>
      </c>
      <c r="E114" s="15"/>
      <c r="F114" s="11">
        <v>0</v>
      </c>
      <c r="G114" s="10"/>
      <c r="H114" s="10"/>
      <c r="I114" s="12" t="s">
        <v>5</v>
      </c>
      <c r="J114" s="12" t="s">
        <v>5</v>
      </c>
      <c r="K114" s="8"/>
      <c r="L114" s="16"/>
    </row>
    <row r="115" spans="1:12">
      <c r="A115" s="33"/>
      <c r="B115" s="7">
        <f t="shared" si="2"/>
        <v>111</v>
      </c>
      <c r="C115" s="8"/>
      <c r="D115" s="36" t="s">
        <v>5</v>
      </c>
      <c r="E115" s="15"/>
      <c r="F115" s="11">
        <v>0</v>
      </c>
      <c r="G115" s="10"/>
      <c r="H115" s="10"/>
      <c r="I115" s="12" t="s">
        <v>5</v>
      </c>
      <c r="J115" s="12" t="s">
        <v>5</v>
      </c>
      <c r="K115" s="8"/>
      <c r="L115" s="16"/>
    </row>
    <row r="116" spans="1:12">
      <c r="A116" s="33"/>
      <c r="B116" s="7">
        <f t="shared" si="2"/>
        <v>112</v>
      </c>
      <c r="C116" s="8"/>
      <c r="D116" s="36" t="s">
        <v>5</v>
      </c>
      <c r="E116" s="15"/>
      <c r="F116" s="11">
        <v>0</v>
      </c>
      <c r="G116" s="10"/>
      <c r="H116" s="10"/>
      <c r="I116" s="12" t="s">
        <v>5</v>
      </c>
      <c r="J116" s="12" t="s">
        <v>5</v>
      </c>
      <c r="K116" s="8"/>
      <c r="L116" s="16"/>
    </row>
    <row r="117" spans="1:12">
      <c r="A117" s="33"/>
      <c r="B117" s="7">
        <f t="shared" si="2"/>
        <v>113</v>
      </c>
      <c r="C117" s="8"/>
      <c r="D117" s="30" t="s">
        <v>5</v>
      </c>
      <c r="E117" s="15" t="s">
        <v>5</v>
      </c>
      <c r="F117" s="11">
        <v>0</v>
      </c>
      <c r="G117" s="10" t="s">
        <v>5</v>
      </c>
      <c r="H117" s="10" t="s">
        <v>5</v>
      </c>
      <c r="I117" s="12" t="s">
        <v>5</v>
      </c>
      <c r="J117" s="12" t="s">
        <v>5</v>
      </c>
      <c r="K117" s="8"/>
      <c r="L117" s="16"/>
    </row>
    <row r="118" spans="1:12" ht="21">
      <c r="B118" s="17" t="s">
        <v>4</v>
      </c>
      <c r="C118" s="18"/>
      <c r="D118" s="19"/>
      <c r="E118" s="20"/>
      <c r="F118" s="21"/>
      <c r="G118" s="22">
        <f>SUBTOTAL(109,InvoicesMain[ML])</f>
        <v>3068</v>
      </c>
      <c r="H118" s="22">
        <f>SUBTOTAL(109,InvoicesMain[QTY])</f>
        <v>174</v>
      </c>
      <c r="I118" s="23">
        <f>SUBTOTAL(109,InvoicesMain[PRICE])</f>
        <v>30400</v>
      </c>
      <c r="J118" s="23">
        <f>SUBTOTAL(109,InvoicesMain[Invoice Total])</f>
        <v>30400</v>
      </c>
      <c r="K118" s="23"/>
      <c r="L118" s="24"/>
    </row>
  </sheetData>
  <sheetProtection formatCells="0" formatColumns="0" formatRows="0" insertRows="0" insertHyperlinks="0" deleteRows="0" selectLockedCells="1" sort="0" autoFilter="0" pivotTables="0"/>
  <autoFilter ref="A4:A64" xr:uid="{00000000-0009-0000-0000-000000000000}"/>
  <conditionalFormatting sqref="C68:C116">
    <cfRule type="duplicateValues" dxfId="1" priority="2"/>
  </conditionalFormatting>
  <conditionalFormatting sqref="C117 B5:C16 C17:C67 B17:B117">
    <cfRule type="duplicateValues" dxfId="0" priority="55"/>
  </conditionalFormatting>
  <printOptions horizontalCentered="1"/>
  <pageMargins left="0.25" right="0.25" top="0.75" bottom="0.75" header="0.3" footer="0.3"/>
  <pageSetup scale="74" fitToHeight="0" orientation="landscape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  <Status xmlns="71af3243-3dd4-4a8d-8c0d-dd76da1f02a5">Not started</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a754d229f0057affa62b555f2ac55d44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c067517bd06b16cb9c9e315ad40fb255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3A445B-6F4E-403F-A36E-68D87D4B8C1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16c05727-aa75-4e4a-9b5f-8a80a1165891"/>
    <ds:schemaRef ds:uri="http://purl.org/dc/dcmitype/"/>
    <ds:schemaRef ds:uri="http://schemas.microsoft.com/office/infopath/2007/PartnerControls"/>
    <ds:schemaRef ds:uri="71af3243-3dd4-4a8d-8c0d-dd76da1f02a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9F30CEA-6D05-4B1D-8ED8-16A4798C4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8E6A8D-8506-4921-9AAC-35C577A39F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SALES</vt:lpstr>
      <vt:lpstr>Invoice_No</vt:lpstr>
      <vt:lpstr>SALES!Print_Titles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2019-07-08T21:21:18Z</dcterms:created>
  <dcterms:modified xsi:type="dcterms:W3CDTF">2026-04-06T09:27:51Z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